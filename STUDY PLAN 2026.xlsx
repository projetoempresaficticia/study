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AGOSTO" sheetId="1" state="visible" r:id="rId1"/>
    <sheet name="SETEMBRO" sheetId="2" state="visible" r:id="rId2"/>
    <sheet name="OUTUBRO" sheetId="3" state="visible" r:id="rId3"/>
    <sheet name="NOVEMBRO" sheetId="4" state="visible" r:id="rId4"/>
    <sheet name="DEZEMBRO" sheetId="5" state="visible" r:id="rId5"/>
    <sheet name="EVENTS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CFAF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8E8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2" borderId="15" applyAlignment="1" pivotButton="0" quotePrefix="0" xfId="0">
      <alignment horizontal="center" vertical="center"/>
    </xf>
    <xf numFmtId="0" fontId="0" fillId="0" borderId="8" pivotButton="0" quotePrefix="0" xfId="0"/>
  </cellXfs>
  <cellStyles count="1">
    <cellStyle name="Normal" xfId="0" builtinId="0"/>
  </cellStyles>
  <dxfs count="40"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9" tint="0.5999938962981048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87A"/>
    <outlinePr summaryBelow="1" summaryRight="1"/>
    <pageSetUpPr/>
  </sheetPr>
  <dimension ref="A1:S75"/>
  <sheetViews>
    <sheetView tabSelected="1" topLeftCell="A54" workbookViewId="0">
      <selection activeCell="J72" sqref="J72"/>
    </sheetView>
  </sheetViews>
  <sheetFormatPr baseColWidth="8" defaultRowHeight="15"/>
  <cols>
    <col width="13.85546875" customWidth="1" style="3" min="1" max="1"/>
    <col width="12" customWidth="1" style="3" min="2" max="2"/>
    <col width="15.28515625" customWidth="1" style="3" min="3" max="3"/>
    <col width="11.85546875" customWidth="1" style="3" min="4" max="4"/>
    <col width="13.5703125" customWidth="1" style="3" min="5" max="5"/>
    <col width="13" customWidth="1" style="3" min="6" max="6"/>
    <col width="12.85546875" customWidth="1" style="3" min="7" max="7"/>
    <col width="11.5703125" customWidth="1" style="3" min="8" max="8"/>
    <col width="14.85546875" customWidth="1" style="3" min="9" max="9"/>
    <col width="11.28515625" customWidth="1" style="3" min="10" max="10"/>
    <col width="12.140625" customWidth="1" style="3" min="13" max="13"/>
    <col width="4" customWidth="1" style="3" min="19" max="19"/>
  </cols>
  <sheetData>
    <row r="1" ht="27.75" customHeight="1" s="3">
      <c r="A1" s="15" t="inlineStr">
        <is>
          <t>TIMETABLE</t>
        </is>
      </c>
      <c r="K1" s="2" t="n"/>
      <c r="S1" t="inlineStr">
        <is>
          <t>DONE</t>
        </is>
      </c>
    </row>
    <row r="2">
      <c r="A2" s="18" t="inlineStr">
        <is>
          <t>WEEK 1</t>
        </is>
      </c>
      <c r="S2" t="inlineStr">
        <is>
          <t>NOT DONE</t>
        </is>
      </c>
    </row>
    <row r="3">
      <c r="A3" s="16" t="inlineStr">
        <is>
          <t>MONDAY</t>
        </is>
      </c>
      <c r="B3" s="22" t="n"/>
      <c r="C3" s="16" t="inlineStr">
        <is>
          <t>TUESDAY</t>
        </is>
      </c>
      <c r="D3" s="22" t="n"/>
      <c r="E3" s="16" t="inlineStr">
        <is>
          <t>WEDNESDAY</t>
        </is>
      </c>
      <c r="F3" s="22" t="n"/>
      <c r="G3" s="16" t="inlineStr">
        <is>
          <t>THURSDAY</t>
        </is>
      </c>
      <c r="H3" s="22" t="n"/>
      <c r="I3" s="23" t="inlineStr">
        <is>
          <t>FRIDAY</t>
        </is>
      </c>
      <c r="J3" s="24" t="n"/>
      <c r="K3" s="1" t="n"/>
      <c r="L3" s="1" t="inlineStr">
        <is>
          <t>DONE</t>
        </is>
      </c>
      <c r="M3" s="1" t="inlineStr">
        <is>
          <t>NOT DONE</t>
        </is>
      </c>
    </row>
    <row r="4">
      <c r="A4" s="4" t="inlineStr">
        <is>
          <t>EMOCIONAL</t>
        </is>
      </c>
      <c r="B4" s="6" t="inlineStr">
        <is>
          <t>DONE</t>
        </is>
      </c>
      <c r="C4" s="4" t="inlineStr">
        <is>
          <t>FRANCÊS</t>
        </is>
      </c>
      <c r="D4" s="8" t="inlineStr">
        <is>
          <t>DONE</t>
        </is>
      </c>
      <c r="E4" s="4" t="inlineStr">
        <is>
          <t>JAPONÊS</t>
        </is>
      </c>
      <c r="F4" s="8" t="inlineStr">
        <is>
          <t>DONE</t>
        </is>
      </c>
      <c r="G4" s="4" t="inlineStr">
        <is>
          <t>ALEMÃO</t>
        </is>
      </c>
      <c r="H4" s="8" t="inlineStr">
        <is>
          <t>DONE</t>
        </is>
      </c>
      <c r="I4" s="4" t="inlineStr">
        <is>
          <t>INDONESIAN</t>
        </is>
      </c>
      <c r="J4" s="10" t="inlineStr">
        <is>
          <t>DONE</t>
        </is>
      </c>
      <c r="L4" s="1" t="n"/>
      <c r="M4" s="1" t="n"/>
    </row>
    <row r="5">
      <c r="A5" s="4" t="inlineStr">
        <is>
          <t>EMOCIONAL</t>
        </is>
      </c>
      <c r="B5" s="6" t="inlineStr">
        <is>
          <t>DONE</t>
        </is>
      </c>
      <c r="C5" s="4" t="inlineStr">
        <is>
          <t>FRANCÊS</t>
        </is>
      </c>
      <c r="D5" s="8" t="inlineStr">
        <is>
          <t>DONE</t>
        </is>
      </c>
      <c r="E5" s="4" t="inlineStr">
        <is>
          <t>JAPONÊS</t>
        </is>
      </c>
      <c r="F5" s="8" t="inlineStr">
        <is>
          <t>DONE</t>
        </is>
      </c>
      <c r="G5" s="4" t="inlineStr">
        <is>
          <t>ALEMÃO</t>
        </is>
      </c>
      <c r="H5" s="8" t="inlineStr">
        <is>
          <t>DONE</t>
        </is>
      </c>
      <c r="I5" s="4" t="inlineStr">
        <is>
          <t>INDONESIAN</t>
        </is>
      </c>
      <c r="J5" s="10" t="inlineStr">
        <is>
          <t>DONE</t>
        </is>
      </c>
      <c r="L5" s="1">
        <f>COUNTIF(B4:J15, "DONE")</f>
        <v/>
      </c>
      <c r="M5" s="1">
        <f>COUNTIF(B4:J15, "NOT DONE")</f>
        <v/>
      </c>
      <c r="N5">
        <f>COUNTIF(B4:J15, "DONE") / (COUNTIF(B4:J15, "DONE") + COUNTIF(B4:J15, "NOT DONE"))</f>
        <v/>
      </c>
    </row>
    <row r="6">
      <c r="A6" s="4" t="inlineStr">
        <is>
          <t>EMOCIONAL</t>
        </is>
      </c>
      <c r="B6" s="6" t="inlineStr">
        <is>
          <t>DONE</t>
        </is>
      </c>
      <c r="C6" s="4" t="inlineStr">
        <is>
          <t>FRANCÊS</t>
        </is>
      </c>
      <c r="D6" s="8" t="inlineStr">
        <is>
          <t>DONE</t>
        </is>
      </c>
      <c r="E6" s="4" t="inlineStr">
        <is>
          <t>JAPONÊS</t>
        </is>
      </c>
      <c r="F6" s="8" t="inlineStr">
        <is>
          <t>DONE</t>
        </is>
      </c>
      <c r="G6" s="4" t="inlineStr">
        <is>
          <t>ALEMÃO</t>
        </is>
      </c>
      <c r="H6" s="8" t="inlineStr">
        <is>
          <t>DONE</t>
        </is>
      </c>
      <c r="I6" s="4" t="inlineStr">
        <is>
          <t>INDONESIAN</t>
        </is>
      </c>
      <c r="J6" s="10" t="inlineStr">
        <is>
          <t>DONE</t>
        </is>
      </c>
    </row>
    <row r="7">
      <c r="A7" s="4" t="inlineStr">
        <is>
          <t>ITALIANO</t>
        </is>
      </c>
      <c r="B7" s="6" t="inlineStr">
        <is>
          <t>DONE</t>
        </is>
      </c>
      <c r="C7" s="4" t="inlineStr">
        <is>
          <t>ESPANHOL</t>
        </is>
      </c>
      <c r="D7" s="8" t="inlineStr">
        <is>
          <t>DONE</t>
        </is>
      </c>
      <c r="E7" s="4" t="inlineStr">
        <is>
          <t>IDIOMAS</t>
        </is>
      </c>
      <c r="F7" s="8" t="inlineStr">
        <is>
          <t>DONE</t>
        </is>
      </c>
      <c r="G7" s="4" t="inlineStr">
        <is>
          <t>LIBRAS</t>
        </is>
      </c>
      <c r="H7" s="8" t="inlineStr">
        <is>
          <t>DONE</t>
        </is>
      </c>
      <c r="I7" s="4" t="inlineStr">
        <is>
          <t>KOREAN</t>
        </is>
      </c>
      <c r="J7" s="10" t="inlineStr">
        <is>
          <t>DONE</t>
        </is>
      </c>
      <c r="L7" t="n">
        <v>10</v>
      </c>
    </row>
    <row r="8">
      <c r="A8" s="4" t="inlineStr">
        <is>
          <t>ITALIANO</t>
        </is>
      </c>
      <c r="B8" s="6" t="inlineStr">
        <is>
          <t>DONE</t>
        </is>
      </c>
      <c r="C8" s="4" t="inlineStr">
        <is>
          <t>ESPANHOL</t>
        </is>
      </c>
      <c r="D8" s="8" t="inlineStr">
        <is>
          <t>DONE</t>
        </is>
      </c>
      <c r="E8" s="4" t="inlineStr">
        <is>
          <t>IDIOMAS</t>
        </is>
      </c>
      <c r="F8" s="8" t="inlineStr">
        <is>
          <t>DONE</t>
        </is>
      </c>
      <c r="G8" s="4" t="inlineStr">
        <is>
          <t>LIBRAS</t>
        </is>
      </c>
      <c r="H8" s="8" t="inlineStr">
        <is>
          <t>DONE</t>
        </is>
      </c>
      <c r="I8" s="4" t="inlineStr">
        <is>
          <t>KOREAN</t>
        </is>
      </c>
      <c r="J8" s="10" t="inlineStr">
        <is>
          <t>DONE</t>
        </is>
      </c>
    </row>
    <row r="9">
      <c r="A9" s="4" t="inlineStr">
        <is>
          <t>ITALIANO</t>
        </is>
      </c>
      <c r="B9" s="6" t="inlineStr">
        <is>
          <t>DONE</t>
        </is>
      </c>
      <c r="C9" s="4" t="inlineStr">
        <is>
          <t>ESPANHOL</t>
        </is>
      </c>
      <c r="D9" s="8" t="inlineStr">
        <is>
          <t>DONE</t>
        </is>
      </c>
      <c r="E9" s="4" t="inlineStr">
        <is>
          <t>IDIOMAS</t>
        </is>
      </c>
      <c r="F9" s="8" t="inlineStr">
        <is>
          <t>DONE</t>
        </is>
      </c>
      <c r="G9" s="4" t="inlineStr">
        <is>
          <t>LIBRAS</t>
        </is>
      </c>
      <c r="H9" s="8" t="inlineStr">
        <is>
          <t>DONE</t>
        </is>
      </c>
      <c r="I9" s="4" t="inlineStr">
        <is>
          <t>KOREAN</t>
        </is>
      </c>
      <c r="J9" s="10" t="inlineStr">
        <is>
          <t>DONE</t>
        </is>
      </c>
    </row>
    <row r="10">
      <c r="A10" s="4" t="inlineStr">
        <is>
          <t>ALEMÃO</t>
        </is>
      </c>
      <c r="B10" s="6" t="inlineStr">
        <is>
          <t>DONE</t>
        </is>
      </c>
      <c r="C10" s="4" t="inlineStr">
        <is>
          <t>INDONESIAN</t>
        </is>
      </c>
      <c r="D10" s="8" t="inlineStr">
        <is>
          <t>DONE</t>
        </is>
      </c>
      <c r="E10" s="4" t="inlineStr">
        <is>
          <t>EMOCIONAL</t>
        </is>
      </c>
      <c r="F10" s="8" t="inlineStr">
        <is>
          <t>DONE</t>
        </is>
      </c>
      <c r="G10" s="4" t="inlineStr">
        <is>
          <t>FRANCÊS</t>
        </is>
      </c>
      <c r="H10" s="8" t="inlineStr">
        <is>
          <t>DONE</t>
        </is>
      </c>
      <c r="I10" s="4" t="inlineStr">
        <is>
          <t>JAPONÊS</t>
        </is>
      </c>
      <c r="J10" s="10" t="inlineStr">
        <is>
          <t>DONE</t>
        </is>
      </c>
    </row>
    <row r="11">
      <c r="A11" s="4" t="inlineStr">
        <is>
          <t>ALEMÃO</t>
        </is>
      </c>
      <c r="B11" s="6" t="inlineStr">
        <is>
          <t>DONE</t>
        </is>
      </c>
      <c r="C11" s="4" t="inlineStr">
        <is>
          <t>INDONESIAN</t>
        </is>
      </c>
      <c r="D11" s="8" t="inlineStr">
        <is>
          <t>DONE</t>
        </is>
      </c>
      <c r="E11" s="4" t="inlineStr">
        <is>
          <t>EMOCIONAL</t>
        </is>
      </c>
      <c r="F11" s="8" t="inlineStr">
        <is>
          <t>DONE</t>
        </is>
      </c>
      <c r="G11" s="4" t="inlineStr">
        <is>
          <t>FRANCÊS</t>
        </is>
      </c>
      <c r="H11" s="8" t="inlineStr">
        <is>
          <t>DONE</t>
        </is>
      </c>
      <c r="I11" s="4" t="inlineStr">
        <is>
          <t>JAPONÊS</t>
        </is>
      </c>
      <c r="J11" s="10" t="inlineStr">
        <is>
          <t>DONE</t>
        </is>
      </c>
    </row>
    <row r="12">
      <c r="A12" s="4" t="inlineStr">
        <is>
          <t>ALEMÃO</t>
        </is>
      </c>
      <c r="B12" s="6" t="inlineStr">
        <is>
          <t>DONE</t>
        </is>
      </c>
      <c r="C12" s="4" t="inlineStr">
        <is>
          <t>INDONESIAN</t>
        </is>
      </c>
      <c r="D12" s="8" t="inlineStr">
        <is>
          <t>DONE</t>
        </is>
      </c>
      <c r="E12" s="4" t="inlineStr">
        <is>
          <t>EMOCIONAL</t>
        </is>
      </c>
      <c r="F12" s="8" t="inlineStr">
        <is>
          <t>DONE</t>
        </is>
      </c>
      <c r="G12" s="4" t="inlineStr">
        <is>
          <t>FRANCÊS</t>
        </is>
      </c>
      <c r="H12" s="8" t="inlineStr">
        <is>
          <t>DONE</t>
        </is>
      </c>
      <c r="I12" s="4" t="inlineStr">
        <is>
          <t>JAPONÊS</t>
        </is>
      </c>
      <c r="J12" s="10" t="inlineStr">
        <is>
          <t>DONE</t>
        </is>
      </c>
    </row>
    <row r="13">
      <c r="A13" s="4" t="inlineStr">
        <is>
          <t>LIBRAS</t>
        </is>
      </c>
      <c r="B13" s="6" t="inlineStr">
        <is>
          <t>DONE</t>
        </is>
      </c>
      <c r="C13" s="4" t="inlineStr">
        <is>
          <t>KOREAN</t>
        </is>
      </c>
      <c r="D13" s="8" t="inlineStr">
        <is>
          <t>DONE</t>
        </is>
      </c>
      <c r="E13" s="4" t="inlineStr">
        <is>
          <t>ITALIANO</t>
        </is>
      </c>
      <c r="F13" s="8" t="inlineStr">
        <is>
          <t>DONE</t>
        </is>
      </c>
      <c r="G13" s="4" t="inlineStr">
        <is>
          <t>ESPANHOL</t>
        </is>
      </c>
      <c r="H13" s="8" t="inlineStr">
        <is>
          <t>DONE</t>
        </is>
      </c>
      <c r="I13" s="4" t="inlineStr">
        <is>
          <t>IDIOMAS</t>
        </is>
      </c>
      <c r="J13" s="10" t="inlineStr">
        <is>
          <t>DONE</t>
        </is>
      </c>
    </row>
    <row r="14">
      <c r="A14" s="4" t="inlineStr">
        <is>
          <t>LIBRAS</t>
        </is>
      </c>
      <c r="B14" s="6" t="inlineStr">
        <is>
          <t>DONE</t>
        </is>
      </c>
      <c r="C14" s="4" t="inlineStr">
        <is>
          <t>KOREAN</t>
        </is>
      </c>
      <c r="D14" s="8" t="inlineStr">
        <is>
          <t>DONE</t>
        </is>
      </c>
      <c r="E14" s="4" t="inlineStr">
        <is>
          <t>ITALIANO</t>
        </is>
      </c>
      <c r="F14" s="8" t="inlineStr">
        <is>
          <t>DONE</t>
        </is>
      </c>
      <c r="G14" s="4" t="inlineStr">
        <is>
          <t>ESPANHOL</t>
        </is>
      </c>
      <c r="H14" s="8" t="inlineStr">
        <is>
          <t>DONE</t>
        </is>
      </c>
      <c r="I14" s="4" t="inlineStr">
        <is>
          <t>IDIOMAS</t>
        </is>
      </c>
      <c r="J14" s="10" t="inlineStr">
        <is>
          <t>DONE</t>
        </is>
      </c>
    </row>
    <row r="15">
      <c r="A15" s="5" t="inlineStr">
        <is>
          <t>LIBRAS</t>
        </is>
      </c>
      <c r="B15" s="7" t="inlineStr">
        <is>
          <t>DONE</t>
        </is>
      </c>
      <c r="C15" s="5" t="inlineStr">
        <is>
          <t>KOREAN</t>
        </is>
      </c>
      <c r="D15" s="9" t="inlineStr">
        <is>
          <t>DONE</t>
        </is>
      </c>
      <c r="E15" s="5" t="inlineStr">
        <is>
          <t>ITALIANO</t>
        </is>
      </c>
      <c r="F15" s="9" t="inlineStr">
        <is>
          <t>DONE</t>
        </is>
      </c>
      <c r="G15" s="5" t="inlineStr">
        <is>
          <t>ESPANHOL</t>
        </is>
      </c>
      <c r="H15" s="9" t="inlineStr">
        <is>
          <t>DONE</t>
        </is>
      </c>
      <c r="I15" s="5" t="inlineStr">
        <is>
          <t>IDIOMAS</t>
        </is>
      </c>
      <c r="J15" s="11" t="inlineStr">
        <is>
          <t>DONE</t>
        </is>
      </c>
    </row>
    <row r="17">
      <c r="A17" s="12" t="inlineStr">
        <is>
          <t>ALEMÃO</t>
        </is>
      </c>
      <c r="B17" s="12" t="inlineStr">
        <is>
          <t>EMOCIONAL</t>
        </is>
      </c>
      <c r="C17" s="12" t="inlineStr">
        <is>
          <t>ESPANHOL</t>
        </is>
      </c>
      <c r="D17" s="12" t="inlineStr">
        <is>
          <t>FRANCÊS</t>
        </is>
      </c>
      <c r="E17" s="12" t="inlineStr">
        <is>
          <t>IDIOMAS</t>
        </is>
      </c>
      <c r="F17" s="12" t="inlineStr">
        <is>
          <t>INDONESIAN</t>
        </is>
      </c>
      <c r="G17" s="12" t="inlineStr">
        <is>
          <t>ITALIANO</t>
        </is>
      </c>
      <c r="H17" s="12" t="inlineStr">
        <is>
          <t>JAPONÊS</t>
        </is>
      </c>
      <c r="I17" s="12" t="inlineStr">
        <is>
          <t>KOREAN</t>
        </is>
      </c>
      <c r="J17" s="12" t="inlineStr">
        <is>
          <t>LIBRAS</t>
        </is>
      </c>
    </row>
    <row r="18">
      <c r="A18" s="12">
        <f>COUNTIFS(A4:I15, "ALEMÃO", B4:J15, "NOT DONE")</f>
        <v/>
      </c>
      <c r="B18" s="12">
        <f>COUNTIFS(A4:I15, "EMOCIONAL", B4:J15, "NOT DONE")</f>
        <v/>
      </c>
      <c r="C18" s="12">
        <f>COUNTIFS(A4:I15, "ESPANHOL", B4:J15, "NOT DONE")</f>
        <v/>
      </c>
      <c r="D18" s="12">
        <f>COUNTIFS(A4:I15, "FRANCÊS", B4:J15, "NOT DONE")</f>
        <v/>
      </c>
      <c r="E18" s="12">
        <f>COUNTIFS(A4:I15, "IDIOMAS", B4:J15, "NOT DONE")</f>
        <v/>
      </c>
      <c r="F18" s="12">
        <f>COUNTIFS(A4:I15, "INDONESIAN", B4:J15, "NOT DONE")</f>
        <v/>
      </c>
      <c r="G18" s="12">
        <f>COUNTIFS(A4:I15, "ITALIANO", B4:J15, "NOT DONE")</f>
        <v/>
      </c>
      <c r="H18" s="12">
        <f>COUNTIFS(A4:I15, "JAPONÊS", B4:J15, "NOT DONE")</f>
        <v/>
      </c>
      <c r="I18" s="12">
        <f>COUNTIFS(A4:I15, "KOREAN", B4:J15, "NOT DONE")</f>
        <v/>
      </c>
      <c r="J18" s="12">
        <f>COUNTIFS(A4:I15, "LIBRAS", B4:J15, "NOT DONE")</f>
        <v/>
      </c>
    </row>
    <row r="19">
      <c r="A19" s="21" t="n"/>
    </row>
    <row r="20">
      <c r="A20" s="15" t="inlineStr">
        <is>
          <t>TIMETABLE</t>
        </is>
      </c>
    </row>
    <row r="21">
      <c r="A21" s="18" t="inlineStr">
        <is>
          <t>WEEK 2</t>
        </is>
      </c>
    </row>
    <row r="22">
      <c r="A22" s="16" t="inlineStr">
        <is>
          <t>MONDAY</t>
        </is>
      </c>
      <c r="B22" s="22" t="n"/>
      <c r="C22" s="16" t="inlineStr">
        <is>
          <t>TUESDAY</t>
        </is>
      </c>
      <c r="D22" s="22" t="n"/>
      <c r="E22" s="16" t="inlineStr">
        <is>
          <t>WEDNESDAY</t>
        </is>
      </c>
      <c r="F22" s="22" t="n"/>
      <c r="G22" s="16" t="inlineStr">
        <is>
          <t>THURSDAY</t>
        </is>
      </c>
      <c r="H22" s="22" t="n"/>
      <c r="I22" s="23" t="inlineStr">
        <is>
          <t>FRIDAY</t>
        </is>
      </c>
      <c r="J22" s="24" t="n"/>
      <c r="L22" s="1" t="inlineStr">
        <is>
          <t>DONE</t>
        </is>
      </c>
      <c r="M22" s="1" t="inlineStr">
        <is>
          <t>NOT DONE</t>
        </is>
      </c>
    </row>
    <row r="23">
      <c r="A23" s="4" t="inlineStr">
        <is>
          <t>LIBRAS</t>
        </is>
      </c>
      <c r="B23" s="6" t="inlineStr">
        <is>
          <t>DONE</t>
        </is>
      </c>
      <c r="C23" s="4" t="inlineStr">
        <is>
          <t>ITALIANO</t>
        </is>
      </c>
      <c r="D23" s="8" t="inlineStr">
        <is>
          <t>DONE</t>
        </is>
      </c>
      <c r="E23" s="4" t="inlineStr">
        <is>
          <t>KOREAN</t>
        </is>
      </c>
      <c r="F23" s="8" t="inlineStr">
        <is>
          <t>DONE</t>
        </is>
      </c>
      <c r="G23" s="4" t="inlineStr">
        <is>
          <t>EMOCIONAL</t>
        </is>
      </c>
      <c r="H23" s="8" t="inlineStr">
        <is>
          <t>DONE</t>
        </is>
      </c>
      <c r="I23" s="4" t="inlineStr">
        <is>
          <t>ALEMÃO</t>
        </is>
      </c>
      <c r="J23" s="10" t="inlineStr">
        <is>
          <t>DONE</t>
        </is>
      </c>
      <c r="L23" s="1" t="n"/>
      <c r="M23" s="1" t="n"/>
    </row>
    <row r="24">
      <c r="A24" s="4" t="inlineStr">
        <is>
          <t>LIBRAS</t>
        </is>
      </c>
      <c r="B24" s="6" t="inlineStr">
        <is>
          <t>DONE</t>
        </is>
      </c>
      <c r="C24" s="4" t="inlineStr">
        <is>
          <t>ITALIANO</t>
        </is>
      </c>
      <c r="D24" s="8" t="inlineStr">
        <is>
          <t>DONE</t>
        </is>
      </c>
      <c r="E24" s="4" t="inlineStr">
        <is>
          <t>KOREAN</t>
        </is>
      </c>
      <c r="F24" s="8" t="inlineStr">
        <is>
          <t>DONE</t>
        </is>
      </c>
      <c r="G24" s="4" t="inlineStr">
        <is>
          <t>EMOCIONAL</t>
        </is>
      </c>
      <c r="H24" s="8" t="inlineStr">
        <is>
          <t>DONE</t>
        </is>
      </c>
      <c r="I24" s="4" t="inlineStr">
        <is>
          <t>ALEMÃO</t>
        </is>
      </c>
      <c r="J24" s="10" t="inlineStr">
        <is>
          <t>DONE</t>
        </is>
      </c>
      <c r="L24" s="1">
        <f>COUNTIF(B23:J34, "DONE")</f>
        <v/>
      </c>
      <c r="M24" s="1">
        <f>COUNTIF(B23:J34, "NOT DONE")</f>
        <v/>
      </c>
      <c r="N24">
        <f>COUNTIF(B23:J34, "DONE") / (COUNTIF(B23:J34, "DONE") + COUNTIF(B23:J34, "NOT DONE"))</f>
        <v/>
      </c>
    </row>
    <row r="25">
      <c r="A25" s="4" t="inlineStr">
        <is>
          <t>LIBRAS</t>
        </is>
      </c>
      <c r="B25" s="6" t="inlineStr">
        <is>
          <t>DONE</t>
        </is>
      </c>
      <c r="C25" s="4" t="inlineStr">
        <is>
          <t>ITALIANO</t>
        </is>
      </c>
      <c r="D25" s="8" t="inlineStr">
        <is>
          <t>DONE</t>
        </is>
      </c>
      <c r="E25" s="4" t="inlineStr">
        <is>
          <t>KOREAN</t>
        </is>
      </c>
      <c r="F25" s="8" t="inlineStr">
        <is>
          <t>DONE</t>
        </is>
      </c>
      <c r="G25" s="4" t="inlineStr">
        <is>
          <t>EMOCIONAL</t>
        </is>
      </c>
      <c r="H25" s="8" t="inlineStr">
        <is>
          <t>DONE</t>
        </is>
      </c>
      <c r="I25" s="4" t="inlineStr">
        <is>
          <t>ALEMÃO</t>
        </is>
      </c>
      <c r="J25" s="10" t="inlineStr">
        <is>
          <t>DONE</t>
        </is>
      </c>
    </row>
    <row r="26">
      <c r="A26" s="4" t="inlineStr">
        <is>
          <t>INDONESIAN</t>
        </is>
      </c>
      <c r="B26" s="6" t="inlineStr">
        <is>
          <t>DONE</t>
        </is>
      </c>
      <c r="C26" s="4" t="inlineStr">
        <is>
          <t>LIBRAS</t>
        </is>
      </c>
      <c r="D26" s="8" t="inlineStr">
        <is>
          <t>DONE</t>
        </is>
      </c>
      <c r="E26" s="4" t="inlineStr">
        <is>
          <t>JAPONÊS</t>
        </is>
      </c>
      <c r="F26" s="8" t="inlineStr">
        <is>
          <t>DONE</t>
        </is>
      </c>
      <c r="G26" s="4" t="inlineStr">
        <is>
          <t>FRANCÊS</t>
        </is>
      </c>
      <c r="H26" s="8" t="inlineStr">
        <is>
          <t>DONE</t>
        </is>
      </c>
      <c r="I26" s="4" t="inlineStr">
        <is>
          <t>ESPANHOL</t>
        </is>
      </c>
      <c r="J26" s="10" t="inlineStr">
        <is>
          <t>DONE</t>
        </is>
      </c>
      <c r="L26" t="n">
        <v>10</v>
      </c>
    </row>
    <row r="27">
      <c r="A27" s="4" t="inlineStr">
        <is>
          <t>INDONESIAN</t>
        </is>
      </c>
      <c r="B27" s="6" t="inlineStr">
        <is>
          <t>DONE</t>
        </is>
      </c>
      <c r="C27" s="4" t="inlineStr">
        <is>
          <t>LIBRAS</t>
        </is>
      </c>
      <c r="D27" s="8" t="inlineStr">
        <is>
          <t>DONE</t>
        </is>
      </c>
      <c r="E27" s="4" t="inlineStr">
        <is>
          <t>JAPONÊS</t>
        </is>
      </c>
      <c r="F27" s="8" t="inlineStr">
        <is>
          <t>DONE</t>
        </is>
      </c>
      <c r="G27" s="4" t="inlineStr">
        <is>
          <t>FRANCÊS</t>
        </is>
      </c>
      <c r="H27" s="8" t="inlineStr">
        <is>
          <t>DONE</t>
        </is>
      </c>
      <c r="I27" s="4" t="inlineStr">
        <is>
          <t>ESPANHOL</t>
        </is>
      </c>
      <c r="J27" s="10" t="inlineStr">
        <is>
          <t>DONE</t>
        </is>
      </c>
    </row>
    <row r="28">
      <c r="A28" s="4" t="inlineStr">
        <is>
          <t>INDONESIAN</t>
        </is>
      </c>
      <c r="B28" s="6" t="inlineStr">
        <is>
          <t>DONE</t>
        </is>
      </c>
      <c r="C28" s="4" t="inlineStr">
        <is>
          <t>LIBRAS</t>
        </is>
      </c>
      <c r="D28" s="8" t="inlineStr">
        <is>
          <t>DONE</t>
        </is>
      </c>
      <c r="E28" s="4" t="inlineStr">
        <is>
          <t>JAPONÊS</t>
        </is>
      </c>
      <c r="F28" s="8" t="inlineStr">
        <is>
          <t>DONE</t>
        </is>
      </c>
      <c r="G28" s="4" t="inlineStr">
        <is>
          <t>FRANCÊS</t>
        </is>
      </c>
      <c r="H28" s="8" t="inlineStr">
        <is>
          <t>DONE</t>
        </is>
      </c>
      <c r="I28" s="4" t="inlineStr">
        <is>
          <t>ESPANHOL</t>
        </is>
      </c>
      <c r="J28" s="10" t="inlineStr">
        <is>
          <t>DONE</t>
        </is>
      </c>
    </row>
    <row r="29">
      <c r="A29" s="4" t="inlineStr">
        <is>
          <t>KOREAN</t>
        </is>
      </c>
      <c r="B29" s="6" t="inlineStr">
        <is>
          <t>DONE</t>
        </is>
      </c>
      <c r="C29" s="4" t="inlineStr">
        <is>
          <t>FRANCÊS</t>
        </is>
      </c>
      <c r="D29" s="8" t="inlineStr">
        <is>
          <t>DONE</t>
        </is>
      </c>
      <c r="E29" s="4" t="inlineStr">
        <is>
          <t>IDIOMAS</t>
        </is>
      </c>
      <c r="F29" s="8" t="inlineStr">
        <is>
          <t>DONE</t>
        </is>
      </c>
      <c r="G29" s="4" t="inlineStr">
        <is>
          <t>ITALIANO</t>
        </is>
      </c>
      <c r="H29" s="8" t="inlineStr">
        <is>
          <t>DONE</t>
        </is>
      </c>
      <c r="I29" s="4" t="inlineStr">
        <is>
          <t>JAPONÊS</t>
        </is>
      </c>
      <c r="J29" s="10" t="inlineStr">
        <is>
          <t>DONE</t>
        </is>
      </c>
    </row>
    <row r="30">
      <c r="A30" s="4" t="inlineStr">
        <is>
          <t>KOREAN</t>
        </is>
      </c>
      <c r="B30" s="6" t="inlineStr">
        <is>
          <t>DONE</t>
        </is>
      </c>
      <c r="C30" s="4" t="inlineStr">
        <is>
          <t>FRANCÊS</t>
        </is>
      </c>
      <c r="D30" s="8" t="inlineStr">
        <is>
          <t>DONE</t>
        </is>
      </c>
      <c r="E30" s="4" t="inlineStr">
        <is>
          <t>IDIOMAS</t>
        </is>
      </c>
      <c r="F30" s="8" t="inlineStr">
        <is>
          <t>DONE</t>
        </is>
      </c>
      <c r="G30" s="4" t="inlineStr">
        <is>
          <t>ITALIANO</t>
        </is>
      </c>
      <c r="H30" s="8" t="inlineStr">
        <is>
          <t>DONE</t>
        </is>
      </c>
      <c r="I30" s="4" t="inlineStr">
        <is>
          <t>JAPONÊS</t>
        </is>
      </c>
      <c r="J30" s="10" t="inlineStr">
        <is>
          <t>DONE</t>
        </is>
      </c>
    </row>
    <row r="31">
      <c r="A31" s="4" t="inlineStr">
        <is>
          <t>KOREAN</t>
        </is>
      </c>
      <c r="B31" s="6" t="inlineStr">
        <is>
          <t>DONE</t>
        </is>
      </c>
      <c r="C31" s="4" t="inlineStr">
        <is>
          <t>FRANCÊS</t>
        </is>
      </c>
      <c r="D31" s="8" t="inlineStr">
        <is>
          <t>DONE</t>
        </is>
      </c>
      <c r="E31" s="4" t="inlineStr">
        <is>
          <t>IDIOMAS</t>
        </is>
      </c>
      <c r="F31" s="8" t="inlineStr">
        <is>
          <t>DONE</t>
        </is>
      </c>
      <c r="G31" s="4" t="inlineStr">
        <is>
          <t>ITALIANO</t>
        </is>
      </c>
      <c r="H31" s="8" t="inlineStr">
        <is>
          <t>DONE</t>
        </is>
      </c>
      <c r="I31" s="4" t="inlineStr">
        <is>
          <t>JAPONÊS</t>
        </is>
      </c>
      <c r="J31" s="10" t="inlineStr">
        <is>
          <t>DONE</t>
        </is>
      </c>
    </row>
    <row r="32">
      <c r="A32" s="4" t="inlineStr">
        <is>
          <t>EMOCIONAL</t>
        </is>
      </c>
      <c r="B32" s="6" t="inlineStr">
        <is>
          <t>DONE</t>
        </is>
      </c>
      <c r="C32" s="4" t="inlineStr">
        <is>
          <t>ESPANHOL</t>
        </is>
      </c>
      <c r="D32" s="8" t="inlineStr">
        <is>
          <t>DONE</t>
        </is>
      </c>
      <c r="E32" s="4" t="inlineStr">
        <is>
          <t>ALEMÃO</t>
        </is>
      </c>
      <c r="F32" s="8" t="inlineStr">
        <is>
          <t>DONE</t>
        </is>
      </c>
      <c r="G32" s="4" t="inlineStr">
        <is>
          <t>IDIOMAS</t>
        </is>
      </c>
      <c r="H32" s="8" t="inlineStr">
        <is>
          <t>DONE</t>
        </is>
      </c>
      <c r="I32" s="4" t="inlineStr">
        <is>
          <t>INDONESIAN</t>
        </is>
      </c>
      <c r="J32" s="10" t="inlineStr">
        <is>
          <t>DONE</t>
        </is>
      </c>
    </row>
    <row r="33">
      <c r="A33" s="4" t="inlineStr">
        <is>
          <t>EMOCIONAL</t>
        </is>
      </c>
      <c r="B33" s="6" t="inlineStr">
        <is>
          <t>DONE</t>
        </is>
      </c>
      <c r="C33" s="4" t="inlineStr">
        <is>
          <t>ESPANHOL</t>
        </is>
      </c>
      <c r="D33" s="8" t="inlineStr">
        <is>
          <t>DONE</t>
        </is>
      </c>
      <c r="E33" s="4" t="inlineStr">
        <is>
          <t>ALEMÃO</t>
        </is>
      </c>
      <c r="F33" s="8" t="inlineStr">
        <is>
          <t>DONE</t>
        </is>
      </c>
      <c r="G33" s="4" t="inlineStr">
        <is>
          <t>IDIOMAS</t>
        </is>
      </c>
      <c r="H33" s="8" t="inlineStr">
        <is>
          <t>DONE</t>
        </is>
      </c>
      <c r="I33" s="4" t="inlineStr">
        <is>
          <t>INDONESIAN</t>
        </is>
      </c>
      <c r="J33" s="10" t="inlineStr">
        <is>
          <t>DONE</t>
        </is>
      </c>
    </row>
    <row r="34">
      <c r="A34" s="5" t="inlineStr">
        <is>
          <t>EMOCIONAL</t>
        </is>
      </c>
      <c r="B34" s="7" t="inlineStr">
        <is>
          <t>DONE</t>
        </is>
      </c>
      <c r="C34" s="5" t="inlineStr">
        <is>
          <t>ESPANHOL</t>
        </is>
      </c>
      <c r="D34" s="9" t="inlineStr">
        <is>
          <t>DONE</t>
        </is>
      </c>
      <c r="E34" s="5" t="inlineStr">
        <is>
          <t>ALEMÃO</t>
        </is>
      </c>
      <c r="F34" s="9" t="inlineStr">
        <is>
          <t>DONE</t>
        </is>
      </c>
      <c r="G34" s="5" t="inlineStr">
        <is>
          <t>IDIOMAS</t>
        </is>
      </c>
      <c r="H34" s="9" t="inlineStr">
        <is>
          <t>DONE</t>
        </is>
      </c>
      <c r="I34" s="5" t="inlineStr">
        <is>
          <t>INDONESIAN</t>
        </is>
      </c>
      <c r="J34" s="11" t="inlineStr">
        <is>
          <t>DONE</t>
        </is>
      </c>
    </row>
    <row r="36">
      <c r="A36" s="12" t="inlineStr">
        <is>
          <t>ALEMÃO</t>
        </is>
      </c>
      <c r="B36" s="12" t="inlineStr">
        <is>
          <t>EMOCIONAL</t>
        </is>
      </c>
      <c r="C36" s="12" t="inlineStr">
        <is>
          <t>ESPANHOL</t>
        </is>
      </c>
      <c r="D36" s="12" t="inlineStr">
        <is>
          <t>FRANCÊS</t>
        </is>
      </c>
      <c r="E36" s="12" t="inlineStr">
        <is>
          <t>IDIOMAS</t>
        </is>
      </c>
      <c r="F36" s="12" t="inlineStr">
        <is>
          <t>INDONESIAN</t>
        </is>
      </c>
      <c r="G36" s="12" t="inlineStr">
        <is>
          <t>ITALIANO</t>
        </is>
      </c>
      <c r="H36" s="12" t="inlineStr">
        <is>
          <t>JAPONÊS</t>
        </is>
      </c>
      <c r="I36" s="12" t="inlineStr">
        <is>
          <t>KOREAN</t>
        </is>
      </c>
      <c r="J36" s="12" t="inlineStr">
        <is>
          <t>LIBRAS</t>
        </is>
      </c>
    </row>
    <row r="37">
      <c r="A37" s="12">
        <f>COUNTIFS(A23:I34, "ALEMÃO", B23:J34, "NOT DONE")</f>
        <v/>
      </c>
      <c r="B37" s="12">
        <f>COUNTIFS(A23:I34, "EMOCIONAL", B23:J34, "NOT DONE")</f>
        <v/>
      </c>
      <c r="C37" s="12">
        <f>COUNTIFS(A23:I34, "ESPANHOL", B23:J34, "NOT DONE")</f>
        <v/>
      </c>
      <c r="D37" s="12">
        <f>COUNTIFS(A23:I34, "FRANCÊS", B23:J34, "NOT DONE")</f>
        <v/>
      </c>
      <c r="E37" s="12">
        <f>COUNTIFS(A23:I34, "IDIOMAS", B23:J34, "NOT DONE")</f>
        <v/>
      </c>
      <c r="F37" s="12">
        <f>COUNTIFS(A23:I34, "INDONESIAN", B23:J34, "NOT DONE")</f>
        <v/>
      </c>
      <c r="G37" s="12">
        <f>COUNTIFS(A23:I34, "ITALIANO", B23:J34, "NOT DONE")</f>
        <v/>
      </c>
      <c r="H37" s="12">
        <f>COUNTIFS(A23:I34, "JAPONÊS", B23:J34, "NOT DONE")</f>
        <v/>
      </c>
      <c r="I37" s="12">
        <f>COUNTIFS(A23:I34, "KOREAN", B23:J34, "NOT DONE")</f>
        <v/>
      </c>
      <c r="J37" s="12">
        <f>COUNTIFS(A23:I34, "LIBRAS", B23:J34, "NOT DONE")</f>
        <v/>
      </c>
    </row>
    <row r="39">
      <c r="A39" s="15" t="inlineStr">
        <is>
          <t>TIMETABLE</t>
        </is>
      </c>
    </row>
    <row r="40">
      <c r="A40" s="18" t="inlineStr">
        <is>
          <t>WEEK 3</t>
        </is>
      </c>
    </row>
    <row r="41">
      <c r="A41" s="16" t="inlineStr">
        <is>
          <t>MONDAY</t>
        </is>
      </c>
      <c r="B41" s="22" t="n"/>
      <c r="C41" s="16" t="inlineStr">
        <is>
          <t>TUESDAY</t>
        </is>
      </c>
      <c r="D41" s="22" t="n"/>
      <c r="E41" s="16" t="inlineStr">
        <is>
          <t>WEDNESDAY</t>
        </is>
      </c>
      <c r="F41" s="22" t="n"/>
      <c r="G41" s="16" t="inlineStr">
        <is>
          <t>THURSDAY</t>
        </is>
      </c>
      <c r="H41" s="22" t="n"/>
      <c r="I41" s="23" t="inlineStr">
        <is>
          <t>FRIDAY</t>
        </is>
      </c>
      <c r="J41" s="24" t="n"/>
      <c r="L41" s="1" t="inlineStr">
        <is>
          <t>DONE</t>
        </is>
      </c>
      <c r="M41" s="1" t="inlineStr">
        <is>
          <t>NOT DONE</t>
        </is>
      </c>
    </row>
    <row r="42">
      <c r="A42" s="4" t="inlineStr">
        <is>
          <t>LIBRAS</t>
        </is>
      </c>
      <c r="B42" s="6" t="inlineStr">
        <is>
          <t>DONE</t>
        </is>
      </c>
      <c r="C42" s="4" t="inlineStr">
        <is>
          <t>KOREAN</t>
        </is>
      </c>
      <c r="D42" s="8" t="inlineStr">
        <is>
          <t>DONE</t>
        </is>
      </c>
      <c r="E42" s="4" t="inlineStr">
        <is>
          <t>FRANCÊS</t>
        </is>
      </c>
      <c r="F42" s="8" t="inlineStr">
        <is>
          <t>DONE</t>
        </is>
      </c>
      <c r="G42" s="4" t="inlineStr">
        <is>
          <t>IDIOMAS</t>
        </is>
      </c>
      <c r="H42" s="8" t="inlineStr">
        <is>
          <t>DONE</t>
        </is>
      </c>
      <c r="I42" s="4" t="inlineStr">
        <is>
          <t>ITALIANO</t>
        </is>
      </c>
      <c r="J42" s="10" t="inlineStr">
        <is>
          <t>DONE</t>
        </is>
      </c>
      <c r="L42" s="1" t="n"/>
      <c r="M42" s="1" t="n"/>
    </row>
    <row r="43">
      <c r="A43" s="4" t="inlineStr">
        <is>
          <t>LIBRAS</t>
        </is>
      </c>
      <c r="B43" s="6" t="inlineStr">
        <is>
          <t>DONE</t>
        </is>
      </c>
      <c r="C43" s="4" t="inlineStr">
        <is>
          <t>KOREAN</t>
        </is>
      </c>
      <c r="D43" s="8" t="inlineStr">
        <is>
          <t>DONE</t>
        </is>
      </c>
      <c r="E43" s="4" t="inlineStr">
        <is>
          <t>FRANCÊS</t>
        </is>
      </c>
      <c r="F43" s="8" t="inlineStr">
        <is>
          <t>DONE</t>
        </is>
      </c>
      <c r="G43" s="4" t="inlineStr">
        <is>
          <t>IDIOMAS</t>
        </is>
      </c>
      <c r="H43" s="8" t="inlineStr">
        <is>
          <t>DONE</t>
        </is>
      </c>
      <c r="I43" s="4" t="inlineStr">
        <is>
          <t>ITALIANO</t>
        </is>
      </c>
      <c r="J43" s="10" t="inlineStr">
        <is>
          <t>DONE</t>
        </is>
      </c>
      <c r="L43" s="1">
        <f>COUNTIF(B42:J53, "DONE")</f>
        <v/>
      </c>
      <c r="M43" s="1">
        <f>COUNTIF(B42:J53, "NOT DONE")</f>
        <v/>
      </c>
      <c r="N43">
        <f>COUNTIF(B42:J53, "DONE") / (COUNTIF(B42:J53, "DONE") + COUNTIF(B42:J53, "NOT DONE"))</f>
        <v/>
      </c>
    </row>
    <row r="44">
      <c r="A44" s="4" t="inlineStr">
        <is>
          <t>LIBRAS</t>
        </is>
      </c>
      <c r="B44" s="6" t="inlineStr">
        <is>
          <t>DONE</t>
        </is>
      </c>
      <c r="C44" s="4" t="inlineStr">
        <is>
          <t>KOREAN</t>
        </is>
      </c>
      <c r="D44" s="8" t="inlineStr">
        <is>
          <t>DONE</t>
        </is>
      </c>
      <c r="E44" s="4" t="inlineStr">
        <is>
          <t>FRANCÊS</t>
        </is>
      </c>
      <c r="F44" s="8" t="inlineStr">
        <is>
          <t>DONE</t>
        </is>
      </c>
      <c r="G44" s="4" t="inlineStr">
        <is>
          <t>IDIOMAS</t>
        </is>
      </c>
      <c r="H44" s="8" t="inlineStr">
        <is>
          <t>DONE</t>
        </is>
      </c>
      <c r="I44" s="4" t="inlineStr">
        <is>
          <t>ITALIANO</t>
        </is>
      </c>
      <c r="J44" s="10" t="inlineStr">
        <is>
          <t>DONE</t>
        </is>
      </c>
    </row>
    <row r="45">
      <c r="A45" s="4" t="inlineStr">
        <is>
          <t>IDIOMAS</t>
        </is>
      </c>
      <c r="B45" s="6" t="inlineStr">
        <is>
          <t>DONE</t>
        </is>
      </c>
      <c r="C45" s="4" t="inlineStr">
        <is>
          <t>EMOCIONAL</t>
        </is>
      </c>
      <c r="D45" s="8" t="inlineStr">
        <is>
          <t>DONE</t>
        </is>
      </c>
      <c r="E45" s="4" t="inlineStr">
        <is>
          <t>ESPANHOL</t>
        </is>
      </c>
      <c r="F45" s="8" t="inlineStr">
        <is>
          <t>DONE</t>
        </is>
      </c>
      <c r="G45" s="4" t="inlineStr">
        <is>
          <t>ALEMÃO</t>
        </is>
      </c>
      <c r="H45" s="8" t="inlineStr">
        <is>
          <t>DONE</t>
        </is>
      </c>
      <c r="I45" s="4" t="inlineStr">
        <is>
          <t>IDIOMAS</t>
        </is>
      </c>
      <c r="J45" s="10" t="inlineStr">
        <is>
          <t>NOT DONE</t>
        </is>
      </c>
      <c r="L45" t="n">
        <v>10</v>
      </c>
    </row>
    <row r="46">
      <c r="A46" s="4" t="inlineStr">
        <is>
          <t>IDIOMAS</t>
        </is>
      </c>
      <c r="B46" s="6" t="inlineStr">
        <is>
          <t>DONE</t>
        </is>
      </c>
      <c r="C46" s="4" t="inlineStr">
        <is>
          <t>EMOCIONAL</t>
        </is>
      </c>
      <c r="D46" s="8" t="inlineStr">
        <is>
          <t>DONE</t>
        </is>
      </c>
      <c r="E46" s="4" t="inlineStr">
        <is>
          <t>ESPANHOL</t>
        </is>
      </c>
      <c r="F46" s="8" t="inlineStr">
        <is>
          <t>DONE</t>
        </is>
      </c>
      <c r="G46" s="4" t="inlineStr">
        <is>
          <t>ALEMÃO</t>
        </is>
      </c>
      <c r="H46" s="8" t="inlineStr">
        <is>
          <t>DONE</t>
        </is>
      </c>
      <c r="I46" s="4" t="inlineStr">
        <is>
          <t>IDIOMAS</t>
        </is>
      </c>
      <c r="J46" s="10" t="inlineStr">
        <is>
          <t>NOT DONE</t>
        </is>
      </c>
    </row>
    <row r="47">
      <c r="A47" s="4" t="inlineStr">
        <is>
          <t>IDIOMAS</t>
        </is>
      </c>
      <c r="B47" s="6" t="inlineStr">
        <is>
          <t>DONE</t>
        </is>
      </c>
      <c r="C47" s="4" t="inlineStr">
        <is>
          <t>EMOCIONAL</t>
        </is>
      </c>
      <c r="D47" s="8" t="inlineStr">
        <is>
          <t>DONE</t>
        </is>
      </c>
      <c r="E47" s="4" t="inlineStr">
        <is>
          <t>ESPANHOL</t>
        </is>
      </c>
      <c r="F47" s="8" t="inlineStr">
        <is>
          <t>DONE</t>
        </is>
      </c>
      <c r="G47" s="4" t="inlineStr">
        <is>
          <t>ALEMÃO</t>
        </is>
      </c>
      <c r="H47" s="8" t="inlineStr">
        <is>
          <t>DONE</t>
        </is>
      </c>
      <c r="I47" s="4" t="inlineStr">
        <is>
          <t>IDIOMAS</t>
        </is>
      </c>
      <c r="J47" s="10" t="inlineStr">
        <is>
          <t>NOT DONE</t>
        </is>
      </c>
    </row>
    <row r="48">
      <c r="A48" s="4" t="inlineStr">
        <is>
          <t>LIBRAS</t>
        </is>
      </c>
      <c r="B48" s="6" t="inlineStr">
        <is>
          <t>DONE</t>
        </is>
      </c>
      <c r="C48" s="4" t="inlineStr">
        <is>
          <t>ITALIANO</t>
        </is>
      </c>
      <c r="D48" s="8" t="inlineStr">
        <is>
          <t>DONE</t>
        </is>
      </c>
      <c r="E48" s="4" t="inlineStr">
        <is>
          <t>KOREAN</t>
        </is>
      </c>
      <c r="F48" s="8" t="inlineStr">
        <is>
          <t>DONE</t>
        </is>
      </c>
      <c r="G48" s="4" t="inlineStr">
        <is>
          <t>EMOCIONAL</t>
        </is>
      </c>
      <c r="H48" s="8" t="inlineStr">
        <is>
          <t>DONE</t>
        </is>
      </c>
      <c r="I48" s="4" t="inlineStr">
        <is>
          <t>ALEMÃO</t>
        </is>
      </c>
      <c r="J48" s="10" t="inlineStr">
        <is>
          <t>DONE</t>
        </is>
      </c>
    </row>
    <row r="49">
      <c r="A49" s="4" t="inlineStr">
        <is>
          <t>LIBRAS</t>
        </is>
      </c>
      <c r="B49" s="6" t="inlineStr">
        <is>
          <t>DONE</t>
        </is>
      </c>
      <c r="C49" s="4" t="inlineStr">
        <is>
          <t>ITALIANO</t>
        </is>
      </c>
      <c r="D49" s="8" t="inlineStr">
        <is>
          <t>DONE</t>
        </is>
      </c>
      <c r="E49" s="4" t="inlineStr">
        <is>
          <t>KOREAN</t>
        </is>
      </c>
      <c r="F49" s="8" t="inlineStr">
        <is>
          <t>DONE</t>
        </is>
      </c>
      <c r="G49" s="4" t="inlineStr">
        <is>
          <t>EMOCIONAL</t>
        </is>
      </c>
      <c r="H49" s="8" t="inlineStr">
        <is>
          <t>DONE</t>
        </is>
      </c>
      <c r="I49" s="4" t="inlineStr">
        <is>
          <t>ALEMÃO</t>
        </is>
      </c>
      <c r="J49" s="10" t="inlineStr">
        <is>
          <t>DONE</t>
        </is>
      </c>
    </row>
    <row r="50">
      <c r="A50" s="4" t="inlineStr">
        <is>
          <t>LIBRAS</t>
        </is>
      </c>
      <c r="B50" s="6" t="inlineStr">
        <is>
          <t>DONE</t>
        </is>
      </c>
      <c r="C50" s="4" t="inlineStr">
        <is>
          <t>ITALIANO</t>
        </is>
      </c>
      <c r="D50" s="8" t="inlineStr">
        <is>
          <t>DONE</t>
        </is>
      </c>
      <c r="E50" s="4" t="inlineStr">
        <is>
          <t>KOREAN</t>
        </is>
      </c>
      <c r="F50" s="8" t="inlineStr">
        <is>
          <t>DONE</t>
        </is>
      </c>
      <c r="G50" s="4" t="inlineStr">
        <is>
          <t>EMOCIONAL</t>
        </is>
      </c>
      <c r="H50" s="8" t="inlineStr">
        <is>
          <t>DONE</t>
        </is>
      </c>
      <c r="I50" s="4" t="inlineStr">
        <is>
          <t>ALEMÃO</t>
        </is>
      </c>
      <c r="J50" s="10" t="inlineStr">
        <is>
          <t>DONE</t>
        </is>
      </c>
    </row>
    <row r="51">
      <c r="A51" s="4" t="inlineStr">
        <is>
          <t>INDONESIAN</t>
        </is>
      </c>
      <c r="B51" s="6" t="inlineStr">
        <is>
          <t>DONE</t>
        </is>
      </c>
      <c r="C51" s="4" t="inlineStr">
        <is>
          <t>LIBRAS</t>
        </is>
      </c>
      <c r="D51" s="8" t="inlineStr">
        <is>
          <t>NOT DONE</t>
        </is>
      </c>
      <c r="E51" s="4" t="inlineStr">
        <is>
          <t>JAPONÊS</t>
        </is>
      </c>
      <c r="F51" s="8" t="inlineStr">
        <is>
          <t>DONE</t>
        </is>
      </c>
      <c r="G51" s="4" t="inlineStr">
        <is>
          <t>FRANCÊS</t>
        </is>
      </c>
      <c r="H51" s="8" t="inlineStr">
        <is>
          <t>DONE</t>
        </is>
      </c>
      <c r="I51" s="4" t="inlineStr">
        <is>
          <t>ESPANHOL</t>
        </is>
      </c>
      <c r="J51" s="10" t="inlineStr">
        <is>
          <t>DONE</t>
        </is>
      </c>
    </row>
    <row r="52">
      <c r="A52" s="4" t="inlineStr">
        <is>
          <t>INDONESIAN</t>
        </is>
      </c>
      <c r="B52" s="6" t="inlineStr">
        <is>
          <t>DONE</t>
        </is>
      </c>
      <c r="C52" s="4" t="inlineStr">
        <is>
          <t>LIBRAS</t>
        </is>
      </c>
      <c r="D52" s="8" t="inlineStr">
        <is>
          <t>NOT DONE</t>
        </is>
      </c>
      <c r="E52" s="4" t="inlineStr">
        <is>
          <t>JAPONÊS</t>
        </is>
      </c>
      <c r="F52" s="8" t="inlineStr">
        <is>
          <t>DONE</t>
        </is>
      </c>
      <c r="G52" s="4" t="inlineStr">
        <is>
          <t>FRANCÊS</t>
        </is>
      </c>
      <c r="H52" s="8" t="inlineStr">
        <is>
          <t>DONE</t>
        </is>
      </c>
      <c r="I52" s="4" t="inlineStr">
        <is>
          <t>ESPANHOL</t>
        </is>
      </c>
      <c r="J52" s="10" t="inlineStr">
        <is>
          <t>DONE</t>
        </is>
      </c>
    </row>
    <row r="53">
      <c r="A53" s="5" t="inlineStr">
        <is>
          <t>INDONESIAN</t>
        </is>
      </c>
      <c r="B53" s="7" t="inlineStr">
        <is>
          <t>DONE</t>
        </is>
      </c>
      <c r="C53" s="5" t="inlineStr">
        <is>
          <t>LIBRAS</t>
        </is>
      </c>
      <c r="D53" s="9" t="inlineStr">
        <is>
          <t>NOT DONE</t>
        </is>
      </c>
      <c r="E53" s="5" t="inlineStr">
        <is>
          <t>JAPONÊS</t>
        </is>
      </c>
      <c r="F53" s="9" t="inlineStr">
        <is>
          <t>DONE</t>
        </is>
      </c>
      <c r="G53" s="5" t="inlineStr">
        <is>
          <t>FRANCÊS</t>
        </is>
      </c>
      <c r="H53" s="9" t="inlineStr">
        <is>
          <t>DONE</t>
        </is>
      </c>
      <c r="I53" s="5" t="inlineStr">
        <is>
          <t>ESPANHOL</t>
        </is>
      </c>
      <c r="J53" s="11" t="inlineStr">
        <is>
          <t>DONE</t>
        </is>
      </c>
    </row>
    <row r="55">
      <c r="A55" s="12" t="inlineStr">
        <is>
          <t>ALEMÃO</t>
        </is>
      </c>
      <c r="B55" s="12" t="inlineStr">
        <is>
          <t>EMOCIONAL</t>
        </is>
      </c>
      <c r="C55" s="12" t="inlineStr">
        <is>
          <t>ESPANHOL</t>
        </is>
      </c>
      <c r="D55" s="12" t="inlineStr">
        <is>
          <t>FRANCÊS</t>
        </is>
      </c>
      <c r="E55" s="12" t="inlineStr">
        <is>
          <t>IDIOMAS</t>
        </is>
      </c>
      <c r="F55" s="12" t="inlineStr">
        <is>
          <t>INDONESIAN</t>
        </is>
      </c>
      <c r="G55" s="12" t="inlineStr">
        <is>
          <t>ITALIANO</t>
        </is>
      </c>
      <c r="H55" s="12" t="inlineStr">
        <is>
          <t>JAPONÊS</t>
        </is>
      </c>
      <c r="I55" s="12" t="inlineStr">
        <is>
          <t>KOREAN</t>
        </is>
      </c>
      <c r="J55" s="12" t="inlineStr">
        <is>
          <t>LIBRAS</t>
        </is>
      </c>
    </row>
    <row r="56">
      <c r="A56" s="12">
        <f>COUNTIFS(A42:I53, "ALEMÃO", B42:J53, "NOT DONE")</f>
        <v/>
      </c>
      <c r="B56" s="12">
        <f>COUNTIFS(A42:I53, "EMOCIONAL", B42:J53, "NOT DONE")</f>
        <v/>
      </c>
      <c r="C56" s="12">
        <f>COUNTIFS(A42:I53, "ESPANHOL", B42:J53, "NOT DONE")</f>
        <v/>
      </c>
      <c r="D56" s="12">
        <f>COUNTIFS(A42:I53, "FRANCÊS", B42:J53, "NOT DONE")</f>
        <v/>
      </c>
      <c r="E56" s="12">
        <f>COUNTIFS(A42:I53, "IDIOMAS", B42:J53, "NOT DONE")</f>
        <v/>
      </c>
      <c r="F56" s="12">
        <f>COUNTIFS(A42:I53, "INDONESIAN", B42:J53, "NOT DONE")</f>
        <v/>
      </c>
      <c r="G56" s="12">
        <f>COUNTIFS(A42:I53, "ITALIANO", B42:J53, "NOT DONE")</f>
        <v/>
      </c>
      <c r="H56" s="12">
        <f>COUNTIFS(A42:I53, "JAPONÊS", B42:J53, "NOT DONE")</f>
        <v/>
      </c>
      <c r="I56" s="12">
        <f>COUNTIFS(A42:I53, "KOREAN", B42:J53, "NOT DONE")</f>
        <v/>
      </c>
      <c r="J56" s="12">
        <f>COUNTIFS(A42:I53, "LIBRAS", B42:J53, "NOT DONE")</f>
        <v/>
      </c>
    </row>
    <row r="58">
      <c r="A58" s="15" t="inlineStr">
        <is>
          <t>TIMETABLE</t>
        </is>
      </c>
    </row>
    <row r="59">
      <c r="A59" s="18" t="inlineStr">
        <is>
          <t>WEEK 4</t>
        </is>
      </c>
    </row>
    <row r="60">
      <c r="A60" s="16" t="inlineStr">
        <is>
          <t>MONDAY</t>
        </is>
      </c>
      <c r="B60" s="22" t="n"/>
      <c r="C60" s="16" t="inlineStr">
        <is>
          <t>TUESDAY</t>
        </is>
      </c>
      <c r="D60" s="22" t="n"/>
      <c r="E60" s="16" t="inlineStr">
        <is>
          <t>WEDNESDAY</t>
        </is>
      </c>
      <c r="F60" s="22" t="n"/>
      <c r="G60" s="16" t="inlineStr">
        <is>
          <t>THURSDAY</t>
        </is>
      </c>
      <c r="H60" s="22" t="n"/>
      <c r="I60" s="23" t="inlineStr">
        <is>
          <t>FRIDAY</t>
        </is>
      </c>
      <c r="J60" s="24" t="n"/>
      <c r="L60" s="1" t="inlineStr">
        <is>
          <t>DONE</t>
        </is>
      </c>
      <c r="M60" s="1" t="inlineStr">
        <is>
          <t>NOT DONE</t>
        </is>
      </c>
    </row>
    <row r="61">
      <c r="A61" s="4" t="inlineStr">
        <is>
          <t>JAPONÊS</t>
        </is>
      </c>
      <c r="B61" s="6" t="inlineStr">
        <is>
          <t>NOT DONE</t>
        </is>
      </c>
      <c r="C61" s="4" t="inlineStr">
        <is>
          <t>IDIOMAS</t>
        </is>
      </c>
      <c r="D61" s="8" t="inlineStr">
        <is>
          <t>NOT DONE</t>
        </is>
      </c>
      <c r="E61" s="4" t="inlineStr">
        <is>
          <t>LIBRAS</t>
        </is>
      </c>
      <c r="F61" s="8" t="inlineStr">
        <is>
          <t>NOT DONE</t>
        </is>
      </c>
      <c r="G61" s="4" t="inlineStr">
        <is>
          <t>ITALIANO</t>
        </is>
      </c>
      <c r="H61" s="8" t="inlineStr">
        <is>
          <t>NOT DONE</t>
        </is>
      </c>
      <c r="I61" s="4" t="inlineStr">
        <is>
          <t>KOREAN</t>
        </is>
      </c>
      <c r="J61" s="10" t="inlineStr">
        <is>
          <t>NOT DONE</t>
        </is>
      </c>
      <c r="L61" s="1" t="n"/>
      <c r="M61" s="1" t="n"/>
    </row>
    <row r="62">
      <c r="A62" s="4" t="inlineStr">
        <is>
          <t>JAPONÊS</t>
        </is>
      </c>
      <c r="B62" s="6" t="inlineStr">
        <is>
          <t>NOT DONE</t>
        </is>
      </c>
      <c r="C62" s="4" t="inlineStr">
        <is>
          <t>IDIOMAS</t>
        </is>
      </c>
      <c r="D62" s="8" t="inlineStr">
        <is>
          <t>NOT DONE</t>
        </is>
      </c>
      <c r="E62" s="4" t="inlineStr">
        <is>
          <t>LIBRAS</t>
        </is>
      </c>
      <c r="F62" s="8" t="inlineStr">
        <is>
          <t>NOT DONE</t>
        </is>
      </c>
      <c r="G62" s="4" t="inlineStr">
        <is>
          <t>ITALIANO</t>
        </is>
      </c>
      <c r="H62" s="8" t="inlineStr">
        <is>
          <t>NOT DONE</t>
        </is>
      </c>
      <c r="I62" s="4" t="inlineStr">
        <is>
          <t>KOREAN</t>
        </is>
      </c>
      <c r="J62" s="10" t="inlineStr">
        <is>
          <t>NOT DONE</t>
        </is>
      </c>
      <c r="L62" s="1">
        <f>COUNTIF(B61:J72, "DONE")</f>
        <v/>
      </c>
      <c r="M62" s="1">
        <f>COUNTIF(B61:J72, "NOT DONE")</f>
        <v/>
      </c>
      <c r="N62">
        <f>COUNTIF(B61:J72, "DONE") / (COUNTIF(B61:J72, "DONE") + COUNTIF(B61:J72, "NOT DONE"))</f>
        <v/>
      </c>
    </row>
    <row r="63">
      <c r="A63" s="4" t="inlineStr">
        <is>
          <t>JAPONÊS</t>
        </is>
      </c>
      <c r="B63" s="6" t="inlineStr">
        <is>
          <t>NOT DONE</t>
        </is>
      </c>
      <c r="C63" s="4" t="inlineStr">
        <is>
          <t>IDIOMAS</t>
        </is>
      </c>
      <c r="D63" s="8" t="inlineStr">
        <is>
          <t>NOT DONE</t>
        </is>
      </c>
      <c r="E63" s="4" t="inlineStr">
        <is>
          <t>LIBRAS</t>
        </is>
      </c>
      <c r="F63" s="8" t="inlineStr">
        <is>
          <t>NOT DONE</t>
        </is>
      </c>
      <c r="G63" s="4" t="inlineStr">
        <is>
          <t>ITALIANO</t>
        </is>
      </c>
      <c r="H63" s="8" t="inlineStr">
        <is>
          <t>NOT DONE</t>
        </is>
      </c>
      <c r="I63" s="4" t="inlineStr">
        <is>
          <t>KOREAN</t>
        </is>
      </c>
      <c r="J63" s="10" t="inlineStr">
        <is>
          <t>NOT DONE</t>
        </is>
      </c>
    </row>
    <row r="64">
      <c r="A64" s="4" t="inlineStr">
        <is>
          <t>INDONESIAN</t>
        </is>
      </c>
      <c r="B64" s="6" t="inlineStr">
        <is>
          <t>NOT DONE</t>
        </is>
      </c>
      <c r="C64" s="4" t="inlineStr">
        <is>
          <t>INDONESIAN</t>
        </is>
      </c>
      <c r="D64" s="8" t="inlineStr">
        <is>
          <t>NOT DONE</t>
        </is>
      </c>
      <c r="E64" s="4" t="inlineStr">
        <is>
          <t>INDONESIAN</t>
        </is>
      </c>
      <c r="F64" s="8" t="inlineStr">
        <is>
          <t>NOT DONE</t>
        </is>
      </c>
      <c r="G64" s="4" t="inlineStr">
        <is>
          <t>LIBRAS</t>
        </is>
      </c>
      <c r="H64" s="8" t="inlineStr">
        <is>
          <t>NOT DONE</t>
        </is>
      </c>
      <c r="I64" s="4" t="inlineStr">
        <is>
          <t>JAPONÊS</t>
        </is>
      </c>
      <c r="J64" s="10" t="inlineStr">
        <is>
          <t>NOT DONE</t>
        </is>
      </c>
      <c r="L64" t="n">
        <v>10</v>
      </c>
    </row>
    <row r="65">
      <c r="A65" s="4" t="inlineStr">
        <is>
          <t>INDONESIAN</t>
        </is>
      </c>
      <c r="B65" s="6" t="inlineStr">
        <is>
          <t>NOT DONE</t>
        </is>
      </c>
      <c r="C65" s="4" t="inlineStr">
        <is>
          <t>INDONESIAN</t>
        </is>
      </c>
      <c r="D65" s="8" t="inlineStr">
        <is>
          <t>NOT DONE</t>
        </is>
      </c>
      <c r="E65" s="4" t="inlineStr">
        <is>
          <t>INDONESIAN</t>
        </is>
      </c>
      <c r="F65" s="8" t="inlineStr">
        <is>
          <t>NOT DONE</t>
        </is>
      </c>
      <c r="G65" s="4" t="inlineStr">
        <is>
          <t>LIBRAS</t>
        </is>
      </c>
      <c r="H65" s="8" t="inlineStr">
        <is>
          <t>NOT DONE</t>
        </is>
      </c>
      <c r="I65" s="4" t="inlineStr">
        <is>
          <t>JAPONÊS</t>
        </is>
      </c>
      <c r="J65" s="10" t="inlineStr">
        <is>
          <t>NOT DONE</t>
        </is>
      </c>
    </row>
    <row r="66">
      <c r="A66" s="4" t="inlineStr">
        <is>
          <t>INDONESIAN</t>
        </is>
      </c>
      <c r="B66" s="6" t="inlineStr">
        <is>
          <t>NOT DONE</t>
        </is>
      </c>
      <c r="C66" s="4" t="inlineStr">
        <is>
          <t>INDONESIAN</t>
        </is>
      </c>
      <c r="D66" s="8" t="inlineStr">
        <is>
          <t>NOT DONE</t>
        </is>
      </c>
      <c r="E66" s="4" t="inlineStr">
        <is>
          <t>INDONESIAN</t>
        </is>
      </c>
      <c r="F66" s="8" t="inlineStr">
        <is>
          <t>NOT DONE</t>
        </is>
      </c>
      <c r="G66" s="4" t="inlineStr">
        <is>
          <t>LIBRAS</t>
        </is>
      </c>
      <c r="H66" s="8" t="inlineStr">
        <is>
          <t>NOT DONE</t>
        </is>
      </c>
      <c r="I66" s="4" t="inlineStr">
        <is>
          <t>JAPONÊS</t>
        </is>
      </c>
      <c r="J66" s="10" t="inlineStr">
        <is>
          <t>NOT DONE</t>
        </is>
      </c>
    </row>
    <row r="67">
      <c r="A67" s="4" t="inlineStr">
        <is>
          <t>LIBRAS</t>
        </is>
      </c>
      <c r="B67" s="6" t="inlineStr">
        <is>
          <t>NOT DONE</t>
        </is>
      </c>
      <c r="C67" s="4" t="inlineStr">
        <is>
          <t>LIBRAS</t>
        </is>
      </c>
      <c r="D67" s="8" t="inlineStr">
        <is>
          <t>NOT DONE</t>
        </is>
      </c>
      <c r="E67" s="4" t="inlineStr">
        <is>
          <t>KOREAN</t>
        </is>
      </c>
      <c r="F67" s="8" t="inlineStr">
        <is>
          <t>NOT DONE</t>
        </is>
      </c>
      <c r="G67" s="14" t="inlineStr">
        <is>
          <t>FRANCÊS</t>
        </is>
      </c>
      <c r="H67" s="8" t="inlineStr">
        <is>
          <t>NOT DONE</t>
        </is>
      </c>
      <c r="I67" s="14" t="inlineStr">
        <is>
          <t>IDIOMAS</t>
        </is>
      </c>
      <c r="J67" s="10" t="inlineStr">
        <is>
          <t>NOT DONE</t>
        </is>
      </c>
    </row>
    <row r="68">
      <c r="A68" s="4" t="inlineStr">
        <is>
          <t>LIBRAS</t>
        </is>
      </c>
      <c r="B68" s="6" t="inlineStr">
        <is>
          <t>NOT DONE</t>
        </is>
      </c>
      <c r="C68" s="4" t="inlineStr">
        <is>
          <t>LIBRAS</t>
        </is>
      </c>
      <c r="D68" s="8" t="inlineStr">
        <is>
          <t>NOT DONE</t>
        </is>
      </c>
      <c r="E68" s="4" t="inlineStr">
        <is>
          <t>KOREAN</t>
        </is>
      </c>
      <c r="F68" s="8" t="inlineStr">
        <is>
          <t>NOT DONE</t>
        </is>
      </c>
      <c r="G68" s="4" t="inlineStr">
        <is>
          <t>FRANCÊS</t>
        </is>
      </c>
      <c r="H68" s="8" t="inlineStr">
        <is>
          <t>NOT DONE</t>
        </is>
      </c>
      <c r="I68" s="4" t="inlineStr">
        <is>
          <t>IDIOMAS</t>
        </is>
      </c>
      <c r="J68" s="10" t="inlineStr">
        <is>
          <t>NOT DONE</t>
        </is>
      </c>
    </row>
    <row r="69">
      <c r="A69" s="4" t="inlineStr">
        <is>
          <t>LIBRAS</t>
        </is>
      </c>
      <c r="B69" s="6" t="inlineStr">
        <is>
          <t>NOT DONE</t>
        </is>
      </c>
      <c r="C69" s="4" t="inlineStr">
        <is>
          <t>LIBRAS</t>
        </is>
      </c>
      <c r="D69" s="8" t="inlineStr">
        <is>
          <t>NOT DONE</t>
        </is>
      </c>
      <c r="E69" s="4" t="inlineStr">
        <is>
          <t>KOREAN</t>
        </is>
      </c>
      <c r="F69" s="8" t="inlineStr">
        <is>
          <t>NOT DONE</t>
        </is>
      </c>
      <c r="G69" s="4" t="inlineStr">
        <is>
          <t>FRANCÊS</t>
        </is>
      </c>
      <c r="H69" s="8" t="inlineStr">
        <is>
          <t>NOT DONE</t>
        </is>
      </c>
      <c r="I69" s="4" t="inlineStr">
        <is>
          <t>IDIOMAS</t>
        </is>
      </c>
      <c r="J69" s="10" t="inlineStr">
        <is>
          <t>NOT DONE</t>
        </is>
      </c>
    </row>
    <row r="70">
      <c r="A70" s="4" t="inlineStr">
        <is>
          <t>IDIOMAS</t>
        </is>
      </c>
      <c r="B70" s="6" t="inlineStr">
        <is>
          <t>NOT DONE</t>
        </is>
      </c>
      <c r="C70" s="4" t="inlineStr">
        <is>
          <t>IDIOMAS</t>
        </is>
      </c>
      <c r="D70" s="8" t="inlineStr">
        <is>
          <t>NOT DONE</t>
        </is>
      </c>
      <c r="E70" s="4" t="inlineStr">
        <is>
          <t>EMOCIONAL</t>
        </is>
      </c>
      <c r="F70" s="8" t="inlineStr">
        <is>
          <t>NOT DONE</t>
        </is>
      </c>
      <c r="G70" s="4" t="inlineStr">
        <is>
          <t>ESPANHOL</t>
        </is>
      </c>
      <c r="H70" s="8" t="inlineStr">
        <is>
          <t>NOT DONE</t>
        </is>
      </c>
      <c r="I70" s="4" t="inlineStr">
        <is>
          <t>ALEMÃO</t>
        </is>
      </c>
      <c r="J70" s="10" t="inlineStr">
        <is>
          <t>NOT DONE</t>
        </is>
      </c>
    </row>
    <row r="71">
      <c r="A71" s="4" t="inlineStr">
        <is>
          <t>IDIOMAS</t>
        </is>
      </c>
      <c r="B71" s="6" t="inlineStr">
        <is>
          <t>NOT DONE</t>
        </is>
      </c>
      <c r="C71" s="4" t="inlineStr">
        <is>
          <t>IDIOMAS</t>
        </is>
      </c>
      <c r="D71" s="8" t="inlineStr">
        <is>
          <t>NOT DONE</t>
        </is>
      </c>
      <c r="E71" s="4" t="inlineStr">
        <is>
          <t>EMOCIONAL</t>
        </is>
      </c>
      <c r="F71" s="8" t="inlineStr">
        <is>
          <t>NOT DONE</t>
        </is>
      </c>
      <c r="G71" s="4" t="inlineStr">
        <is>
          <t>ESPANHOL</t>
        </is>
      </c>
      <c r="H71" s="8" t="inlineStr">
        <is>
          <t>NOT DONE</t>
        </is>
      </c>
      <c r="I71" s="4" t="inlineStr">
        <is>
          <t>ALEMÃO</t>
        </is>
      </c>
      <c r="J71" s="10" t="inlineStr">
        <is>
          <t>NOT DONE</t>
        </is>
      </c>
    </row>
    <row r="72">
      <c r="A72" s="5" t="inlineStr">
        <is>
          <t>IDIOMAS</t>
        </is>
      </c>
      <c r="B72" s="7" t="inlineStr">
        <is>
          <t>NOT DONE</t>
        </is>
      </c>
      <c r="C72" s="5" t="inlineStr">
        <is>
          <t>IDIOMAS</t>
        </is>
      </c>
      <c r="D72" s="9" t="inlineStr">
        <is>
          <t>NOT DONE</t>
        </is>
      </c>
      <c r="E72" s="13" t="inlineStr">
        <is>
          <t>EMOCIONAL</t>
        </is>
      </c>
      <c r="F72" s="9" t="inlineStr">
        <is>
          <t>NOT DONE</t>
        </is>
      </c>
      <c r="G72" s="13" t="inlineStr">
        <is>
          <t>ESPANHOL</t>
        </is>
      </c>
      <c r="H72" s="9" t="inlineStr">
        <is>
          <t>NOT DONE</t>
        </is>
      </c>
      <c r="I72" s="13" t="inlineStr">
        <is>
          <t>ALEMÃO</t>
        </is>
      </c>
      <c r="J72" s="11" t="inlineStr">
        <is>
          <t>NOT DONE</t>
        </is>
      </c>
    </row>
    <row r="74">
      <c r="A74" s="12" t="inlineStr">
        <is>
          <t>ALEMÃO</t>
        </is>
      </c>
      <c r="B74" s="12" t="inlineStr">
        <is>
          <t>EMOCIONAL</t>
        </is>
      </c>
      <c r="C74" s="12" t="inlineStr">
        <is>
          <t>ESPANHOL</t>
        </is>
      </c>
      <c r="D74" s="12" t="inlineStr">
        <is>
          <t>FRANCÊS</t>
        </is>
      </c>
      <c r="E74" s="12" t="inlineStr">
        <is>
          <t>IDIOMAS</t>
        </is>
      </c>
      <c r="F74" s="12" t="inlineStr">
        <is>
          <t>INDONESIAN</t>
        </is>
      </c>
      <c r="G74" s="12" t="inlineStr">
        <is>
          <t>ITALIANO</t>
        </is>
      </c>
      <c r="H74" s="12" t="inlineStr">
        <is>
          <t>JAPONÊS</t>
        </is>
      </c>
      <c r="I74" s="12" t="inlineStr">
        <is>
          <t>KOREAN</t>
        </is>
      </c>
      <c r="J74" s="12" t="inlineStr">
        <is>
          <t>LIBRAS</t>
        </is>
      </c>
    </row>
    <row r="75">
      <c r="A75" s="12">
        <f>COUNTIFS(A61:I72, "ALEMÃO", B61:J72, "NOT DONE")</f>
        <v/>
      </c>
      <c r="B75" s="12">
        <f>COUNTIFS(A61:I72, "EMOCIONAL", B61:J72, "NOT DONE")</f>
        <v/>
      </c>
      <c r="C75" s="12">
        <f>COUNTIFS(A61:I72, "ESPANHOL", B61:J72, "NOT DONE")</f>
        <v/>
      </c>
      <c r="D75" s="12">
        <f>COUNTIFS(A61:I72, "FRANCÊS", B61:J72, "NOT DONE")</f>
        <v/>
      </c>
      <c r="E75" s="12">
        <f>COUNTIFS(A61:I72, "IDIOMAS", B61:J72, "NOT DONE")</f>
        <v/>
      </c>
      <c r="F75" s="12">
        <f>COUNTIFS(A61:I72, "INDONESIAN", B61:J72, "NOT DONE")</f>
        <v/>
      </c>
      <c r="G75" s="12">
        <f>COUNTIFS(A61:I72, "ITALIANO", B61:J72, "NOT DONE")</f>
        <v/>
      </c>
      <c r="H75" s="12">
        <f>COUNTIFS(A61:I72, "JAPONÊS", B61:J72, "NOT DONE")</f>
        <v/>
      </c>
      <c r="I75" s="12">
        <f>COUNTIFS(A61:I72, "KOREAN", B61:J72, "NOT DONE")</f>
        <v/>
      </c>
      <c r="J75" s="12">
        <f>COUNTIFS(A61:I72, "LIBRAS", B61:J72, "NOT DONE")</f>
        <v/>
      </c>
    </row>
  </sheetData>
  <mergeCells count="29">
    <mergeCell ref="A60:B60"/>
    <mergeCell ref="A20:J20"/>
    <mergeCell ref="A19:J19"/>
    <mergeCell ref="G22:H22"/>
    <mergeCell ref="A58:J58"/>
    <mergeCell ref="A40:J40"/>
    <mergeCell ref="A41:B41"/>
    <mergeCell ref="C41:D41"/>
    <mergeCell ref="I41:J41"/>
    <mergeCell ref="A39:J39"/>
    <mergeCell ref="A59:J59"/>
    <mergeCell ref="C22:D22"/>
    <mergeCell ref="I22:J22"/>
    <mergeCell ref="E60:F60"/>
    <mergeCell ref="A3:B3"/>
    <mergeCell ref="G3:H3"/>
    <mergeCell ref="I3:J3"/>
    <mergeCell ref="A1:J1"/>
    <mergeCell ref="C60:D60"/>
    <mergeCell ref="I60:J60"/>
    <mergeCell ref="A22:B22"/>
    <mergeCell ref="E41:F41"/>
    <mergeCell ref="G41:H41"/>
    <mergeCell ref="A21:J21"/>
    <mergeCell ref="E22:F22"/>
    <mergeCell ref="A2:J2"/>
    <mergeCell ref="C3:D3"/>
    <mergeCell ref="G60:H60"/>
    <mergeCell ref="E3:F3"/>
  </mergeCells>
  <conditionalFormatting sqref="B4:B15 D4:D15 F4:F15 H4:H15 J4:J15">
    <cfRule type="containsText" priority="10" operator="containsText" dxfId="1" text="DONE">
      <formula>NOT(ISERROR(SEARCH("DONE",B4)))</formula>
    </cfRule>
    <cfRule type="containsText" priority="9" operator="containsText" dxfId="0" text="NOT DONE">
      <formula>NOT(ISERROR(SEARCH("NOT DONE",B4)))</formula>
    </cfRule>
  </conditionalFormatting>
  <conditionalFormatting sqref="B23:B34 D23:D34 F23:F34 H23:H34 J23:J34">
    <cfRule type="containsText" priority="6" operator="containsText" dxfId="1" text="DONE">
      <formula>NOT(ISERROR(SEARCH("DONE",B23)))</formula>
    </cfRule>
    <cfRule type="containsText" priority="5" operator="containsText" dxfId="0" text="NOT DONE">
      <formula>NOT(ISERROR(SEARCH("NOT DONE",B23)))</formula>
    </cfRule>
  </conditionalFormatting>
  <conditionalFormatting sqref="B42:B53 D42:D53 F42:F53 H42:H53 J42:J53">
    <cfRule type="containsText" priority="4" operator="containsText" dxfId="1" text="DONE">
      <formula>NOT(ISERROR(SEARCH("DONE",B42)))</formula>
    </cfRule>
    <cfRule type="containsText" priority="3" operator="containsText" dxfId="0" text="NOT DONE">
      <formula>NOT(ISERROR(SEARCH("NOT DONE",B42)))</formula>
    </cfRule>
  </conditionalFormatting>
  <conditionalFormatting sqref="B61:B72 D61:D72 F61:F72 H61:H72 J61:J72">
    <cfRule type="containsText" priority="2" operator="containsText" dxfId="1" text="DONE">
      <formula>NOT(ISERROR(SEARCH("DONE",B61)))</formula>
    </cfRule>
    <cfRule type="containsText" priority="1" operator="containsText" dxfId="0" text="NOT DONE">
      <formula>NOT(ISERROR(SEARCH("NOT DONE",B61)))</formula>
    </cfRule>
  </conditionalFormatting>
  <dataValidations count="1">
    <dataValidation sqref="B4:B15 B23:B34 B42:B53 B61:B72 D4:D15 D23:D34 D42:D53 D61:D72 F4:F15 F23:F34 F42:F53 F61:F72 H4:H15 H23:H34 H42:H53 H61:H72 J4:J15 J23:J34 J42:J53 J61:J72" showDropDown="0" showInputMessage="1" showErrorMessage="1" allowBlank="1" type="list">
      <formula1>$S$1:$S$2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75"/>
  <sheetViews>
    <sheetView workbookViewId="0">
      <selection activeCell="A20" sqref="A20"/>
    </sheetView>
  </sheetViews>
  <sheetFormatPr baseColWidth="8" defaultRowHeight="15"/>
  <cols>
    <col width="13" customWidth="1" style="3" min="1" max="1"/>
    <col width="12.5703125" customWidth="1" style="3" min="2" max="2"/>
    <col width="12.7109375" customWidth="1" style="3" min="3" max="3"/>
    <col width="11" customWidth="1" style="3" min="4" max="4"/>
    <col width="13.28515625" customWidth="1" style="3" min="5" max="5"/>
    <col width="14.140625" customWidth="1" style="3" min="6" max="6"/>
    <col width="11.85546875" customWidth="1" style="3" min="7" max="7"/>
    <col width="12" customWidth="1" style="3" min="8" max="8"/>
    <col width="13.42578125" customWidth="1" style="3" min="9" max="9"/>
    <col width="12.85546875" customWidth="1" style="3" min="10" max="10"/>
  </cols>
  <sheetData>
    <row r="1">
      <c r="A1" s="15" t="inlineStr">
        <is>
          <t>TIMETABLE</t>
        </is>
      </c>
      <c r="K1" s="2" t="n"/>
      <c r="S1" t="inlineStr">
        <is>
          <t>DONE</t>
        </is>
      </c>
    </row>
    <row r="2">
      <c r="A2" s="18" t="inlineStr">
        <is>
          <t>WEEK 1</t>
        </is>
      </c>
      <c r="S2" t="inlineStr">
        <is>
          <t>NOT DONE</t>
        </is>
      </c>
    </row>
    <row r="3">
      <c r="A3" s="16" t="inlineStr">
        <is>
          <t>MONDAY</t>
        </is>
      </c>
      <c r="B3" s="22" t="n"/>
      <c r="C3" s="16" t="inlineStr">
        <is>
          <t>TUESDAY</t>
        </is>
      </c>
      <c r="D3" s="22" t="n"/>
      <c r="E3" s="16" t="inlineStr">
        <is>
          <t>WEDNESDAY</t>
        </is>
      </c>
      <c r="F3" s="22" t="n"/>
      <c r="G3" s="16" t="inlineStr">
        <is>
          <t>THURSDAY</t>
        </is>
      </c>
      <c r="H3" s="22" t="n"/>
      <c r="I3" s="23" t="inlineStr">
        <is>
          <t>FRIDAY</t>
        </is>
      </c>
      <c r="J3" s="24" t="n"/>
      <c r="K3" s="1" t="n"/>
      <c r="L3" s="1" t="inlineStr">
        <is>
          <t>DONE</t>
        </is>
      </c>
      <c r="M3" s="1" t="inlineStr">
        <is>
          <t>NOT DONE</t>
        </is>
      </c>
    </row>
    <row r="4">
      <c r="A4" s="4" t="inlineStr">
        <is>
          <t>EMOCIONAL</t>
        </is>
      </c>
      <c r="B4" s="6" t="n"/>
      <c r="C4" s="4" t="inlineStr">
        <is>
          <t>ALEMÃO</t>
        </is>
      </c>
      <c r="D4" s="8" t="inlineStr">
        <is>
          <t>DONE</t>
        </is>
      </c>
      <c r="E4" s="4" t="n"/>
      <c r="F4" s="8" t="n"/>
      <c r="G4" s="4" t="n"/>
      <c r="H4" s="8" t="n"/>
      <c r="I4" s="4" t="n"/>
      <c r="J4" s="10" t="n"/>
      <c r="L4" s="1" t="n"/>
      <c r="M4" s="1" t="n"/>
    </row>
    <row r="5">
      <c r="A5" s="4" t="inlineStr">
        <is>
          <t>EMOCIONAL</t>
        </is>
      </c>
      <c r="B5" s="6" t="n"/>
      <c r="C5" s="4" t="inlineStr">
        <is>
          <t>ALEMÃO</t>
        </is>
      </c>
      <c r="D5" s="8" t="inlineStr">
        <is>
          <t>NOT DONE</t>
        </is>
      </c>
      <c r="E5" s="4" t="n"/>
      <c r="F5" s="8" t="n"/>
      <c r="G5" s="4" t="n"/>
      <c r="H5" s="8" t="n"/>
      <c r="I5" s="4" t="n"/>
      <c r="J5" s="10" t="n"/>
      <c r="L5" s="1">
        <f>COUNTIF(B4:J15, "DONE")</f>
        <v/>
      </c>
      <c r="M5" s="1">
        <f>COUNTIF(B4:J15, "NOT DONE")</f>
        <v/>
      </c>
      <c r="N5">
        <f>COUNTIF(B4:J15, "DONE") / (COUNTIF(B4:J15, "DONE") + COUNTIF(B4:J15, "NOT DONE"))</f>
        <v/>
      </c>
    </row>
    <row r="6">
      <c r="A6" s="4" t="inlineStr">
        <is>
          <t>EMOCIONAL</t>
        </is>
      </c>
      <c r="B6" s="6" t="n"/>
      <c r="C6" s="4" t="inlineStr">
        <is>
          <t>ALEMÃO</t>
        </is>
      </c>
      <c r="D6" s="8" t="n"/>
      <c r="E6" s="4" t="n"/>
      <c r="F6" s="8" t="n"/>
      <c r="G6" s="4" t="n"/>
      <c r="H6" s="8" t="n"/>
      <c r="I6" s="4" t="n"/>
      <c r="J6" s="10" t="n"/>
    </row>
    <row r="7">
      <c r="A7" s="4" t="inlineStr">
        <is>
          <t>FRANCÊS</t>
        </is>
      </c>
      <c r="B7" s="6" t="n"/>
      <c r="C7" s="4" t="inlineStr">
        <is>
          <t>ESPANHOL</t>
        </is>
      </c>
      <c r="D7" s="8" t="n"/>
      <c r="E7" s="4" t="n"/>
      <c r="F7" s="8" t="n"/>
      <c r="G7" s="4" t="n"/>
      <c r="H7" s="8" t="n"/>
      <c r="I7" s="4" t="n"/>
      <c r="J7" s="10" t="n"/>
    </row>
    <row r="8">
      <c r="A8" s="4" t="inlineStr">
        <is>
          <t>FRANCÊS</t>
        </is>
      </c>
      <c r="B8" s="6" t="n"/>
      <c r="C8" s="4" t="inlineStr">
        <is>
          <t>ESPANHOL</t>
        </is>
      </c>
      <c r="D8" s="8" t="n"/>
      <c r="E8" s="4" t="n"/>
      <c r="F8" s="8" t="n"/>
      <c r="G8" s="4" t="n"/>
      <c r="H8" s="8" t="n"/>
      <c r="I8" s="4" t="n"/>
      <c r="J8" s="10" t="n"/>
    </row>
    <row r="9">
      <c r="A9" s="4" t="inlineStr">
        <is>
          <t>FRANCÊS</t>
        </is>
      </c>
      <c r="B9" s="6" t="n"/>
      <c r="C9" s="4" t="inlineStr">
        <is>
          <t>ESPANHOL</t>
        </is>
      </c>
      <c r="D9" s="8" t="n"/>
      <c r="E9" s="4" t="n"/>
      <c r="F9" s="8" t="n"/>
      <c r="G9" s="4" t="n"/>
      <c r="H9" s="8" t="n"/>
      <c r="I9" s="4" t="n"/>
      <c r="J9" s="10" t="n"/>
    </row>
    <row r="10">
      <c r="A10" s="14" t="inlineStr">
        <is>
          <t>ITALIANO</t>
        </is>
      </c>
      <c r="B10" s="6" t="n"/>
      <c r="C10" s="14" t="n"/>
      <c r="D10" s="8" t="n"/>
      <c r="E10" s="4" t="n"/>
      <c r="F10" s="8" t="n"/>
      <c r="G10" s="4" t="n"/>
      <c r="H10" s="8" t="n"/>
      <c r="I10" s="4" t="n"/>
      <c r="J10" s="10" t="n"/>
    </row>
    <row r="11">
      <c r="A11" s="4" t="inlineStr">
        <is>
          <t>ITALIANO</t>
        </is>
      </c>
      <c r="B11" s="6" t="n"/>
      <c r="C11" s="4" t="n"/>
      <c r="D11" s="8" t="n"/>
      <c r="E11" s="4" t="n"/>
      <c r="F11" s="8" t="n"/>
      <c r="G11" s="4" t="n"/>
      <c r="H11" s="8" t="n"/>
      <c r="I11" s="4" t="n"/>
      <c r="J11" s="10" t="n"/>
    </row>
    <row r="12">
      <c r="A12" s="4" t="inlineStr">
        <is>
          <t>ITALIANO</t>
        </is>
      </c>
      <c r="B12" s="6" t="n"/>
      <c r="C12" s="4" t="n"/>
      <c r="D12" s="8" t="n"/>
      <c r="E12" s="4" t="n"/>
      <c r="F12" s="8" t="n"/>
      <c r="G12" s="4" t="n"/>
      <c r="H12" s="8" t="n"/>
      <c r="I12" s="4" t="n"/>
      <c r="J12" s="10" t="n"/>
    </row>
    <row r="13">
      <c r="A13" s="4" t="inlineStr">
        <is>
          <t>IDIOMAS</t>
        </is>
      </c>
      <c r="B13" s="6" t="n"/>
      <c r="C13" s="4" t="n"/>
      <c r="D13" s="8" t="n"/>
      <c r="E13" s="4" t="n"/>
      <c r="F13" s="8" t="n"/>
      <c r="G13" s="4" t="n"/>
      <c r="H13" s="8" t="n"/>
      <c r="I13" s="4" t="n"/>
      <c r="J13" s="10" t="n"/>
    </row>
    <row r="14">
      <c r="A14" s="4" t="inlineStr">
        <is>
          <t>IDIOMAS</t>
        </is>
      </c>
      <c r="B14" s="6" t="n"/>
      <c r="C14" s="4" t="n"/>
      <c r="D14" s="8" t="n"/>
      <c r="E14" s="4" t="n"/>
      <c r="F14" s="8" t="n"/>
      <c r="G14" s="4" t="n"/>
      <c r="H14" s="8" t="n"/>
      <c r="I14" s="4" t="n"/>
      <c r="J14" s="10" t="n"/>
    </row>
    <row r="15">
      <c r="A15" s="13" t="inlineStr">
        <is>
          <t>IDIOMAS</t>
        </is>
      </c>
      <c r="B15" s="7" t="n"/>
      <c r="C15" s="5" t="n"/>
      <c r="D15" s="9" t="n"/>
      <c r="E15" s="5" t="n"/>
      <c r="F15" s="9" t="n"/>
      <c r="G15" s="5" t="n"/>
      <c r="H15" s="9" t="n"/>
      <c r="I15" s="5" t="n"/>
      <c r="J15" s="11" t="n"/>
    </row>
    <row r="17">
      <c r="A17" s="12" t="inlineStr">
        <is>
          <t>ALEMÃO</t>
        </is>
      </c>
      <c r="B17" s="12" t="inlineStr">
        <is>
          <t>EMOCIONAL</t>
        </is>
      </c>
      <c r="C17" s="12" t="inlineStr">
        <is>
          <t>ESPANHOL</t>
        </is>
      </c>
      <c r="D17" s="12" t="inlineStr">
        <is>
          <t>FRANCÊS</t>
        </is>
      </c>
      <c r="E17" s="12" t="inlineStr">
        <is>
          <t>IDIOMAS</t>
        </is>
      </c>
      <c r="F17" s="12" t="inlineStr">
        <is>
          <t>INDONESIAN</t>
        </is>
      </c>
      <c r="G17" s="12" t="inlineStr">
        <is>
          <t>ITALIANO</t>
        </is>
      </c>
      <c r="H17" s="12" t="inlineStr">
        <is>
          <t>JAPONÊS</t>
        </is>
      </c>
      <c r="I17" s="12" t="inlineStr">
        <is>
          <t>KOREAN</t>
        </is>
      </c>
      <c r="J17" s="12" t="inlineStr">
        <is>
          <t>LIBRAS</t>
        </is>
      </c>
    </row>
    <row r="18">
      <c r="A18" s="12">
        <f>COUNTIFS(A4:I15, "ALEMÃO", B4:J15, "NOT DONE")</f>
        <v/>
      </c>
      <c r="B18" s="12">
        <f>COUNTIFS(A4:I15, "EMOCIONAL", B4:J15, "NOT DONE")</f>
        <v/>
      </c>
      <c r="C18" s="12">
        <f>COUNTIFS(A4:I15, "ESPANHOL", B4:J15, "NOT DONE")</f>
        <v/>
      </c>
      <c r="D18" s="12">
        <f>COUNTIFS(A4:I15, "FRANCÊS", B4:J15, "NOT DONE")</f>
        <v/>
      </c>
      <c r="E18" s="12">
        <f>COUNTIFS(A4:I15, "IDIOMAS", B4:J15, "NOT DONE")</f>
        <v/>
      </c>
      <c r="F18" s="12">
        <f>COUNTIFS(A4:I15, "INDONESIAN", B4:J15, "NOT DONE")</f>
        <v/>
      </c>
      <c r="G18" s="12">
        <f>COUNTIFS(A4:I15, "ITALIANO", B4:J15, "NOT DONE")</f>
        <v/>
      </c>
      <c r="H18" s="12">
        <f>COUNTIFS(A4:I15, "JAPONÊS", B4:J15, "NOT DONE")</f>
        <v/>
      </c>
      <c r="I18" s="12">
        <f>COUNTIFS(A4:I15, "KOREAN", B4:J15, "NOT DONE")</f>
        <v/>
      </c>
      <c r="J18" s="12">
        <f>COUNTIFS(A4:I15, "LIBRAS", B4:J15, "NOT DONE")</f>
        <v/>
      </c>
    </row>
    <row r="20">
      <c r="A20" s="15" t="inlineStr">
        <is>
          <t>TIMETABLE</t>
        </is>
      </c>
      <c r="K20" s="2" t="n"/>
    </row>
    <row r="21">
      <c r="A21" s="18" t="inlineStr">
        <is>
          <t>WEEK 2</t>
        </is>
      </c>
    </row>
    <row r="22">
      <c r="A22" s="16" t="inlineStr">
        <is>
          <t>MONDAY</t>
        </is>
      </c>
      <c r="B22" s="22" t="n"/>
      <c r="C22" s="16" t="inlineStr">
        <is>
          <t>TUESDAY</t>
        </is>
      </c>
      <c r="D22" s="22" t="n"/>
      <c r="E22" s="16" t="inlineStr">
        <is>
          <t>WEDNESDAY</t>
        </is>
      </c>
      <c r="F22" s="22" t="n"/>
      <c r="G22" s="16" t="inlineStr">
        <is>
          <t>THURSDAY</t>
        </is>
      </c>
      <c r="H22" s="22" t="n"/>
      <c r="I22" s="23" t="inlineStr">
        <is>
          <t>FRIDAY</t>
        </is>
      </c>
      <c r="J22" s="24" t="n"/>
      <c r="K22" s="1" t="n"/>
      <c r="L22" s="1" t="inlineStr">
        <is>
          <t>DONE</t>
        </is>
      </c>
      <c r="M22" s="1" t="inlineStr">
        <is>
          <t>NOT DONE</t>
        </is>
      </c>
    </row>
    <row r="23">
      <c r="A23" s="4" t="n"/>
      <c r="B23" s="6" t="n"/>
      <c r="C23" s="4" t="n"/>
      <c r="D23" s="8" t="n"/>
      <c r="E23" s="4" t="n"/>
      <c r="F23" s="8" t="n"/>
      <c r="G23" s="4" t="n"/>
      <c r="H23" s="8" t="n"/>
      <c r="I23" s="4" t="n"/>
      <c r="J23" s="10" t="n"/>
      <c r="L23" s="1" t="n"/>
      <c r="M23" s="1" t="n"/>
    </row>
    <row r="24">
      <c r="A24" s="4" t="n"/>
      <c r="B24" s="6" t="n"/>
      <c r="C24" s="4" t="n"/>
      <c r="D24" s="8" t="n"/>
      <c r="E24" s="4" t="n"/>
      <c r="F24" s="8" t="n"/>
      <c r="G24" s="4" t="n"/>
      <c r="H24" s="8" t="n"/>
      <c r="I24" s="4" t="n"/>
      <c r="J24" s="10" t="n"/>
      <c r="L24" s="1">
        <f>COUNTIF(B23:J34, "DONE")</f>
        <v/>
      </c>
      <c r="M24" s="1">
        <f>COUNTIF(B23:J34, "NOT DONE")</f>
        <v/>
      </c>
      <c r="N24">
        <f>COUNTIF(B23:J34, "DONE") / (COUNTIF(B23:J34, "DONE") + COUNTIF(B23:J34, "NOT DONE"))</f>
        <v/>
      </c>
    </row>
    <row r="25">
      <c r="A25" s="4" t="n"/>
      <c r="B25" s="6" t="n"/>
      <c r="C25" s="4" t="n"/>
      <c r="D25" s="8" t="n"/>
      <c r="E25" s="4" t="n"/>
      <c r="F25" s="8" t="n"/>
      <c r="G25" s="4" t="n"/>
      <c r="H25" s="8" t="n"/>
      <c r="I25" s="4" t="n"/>
      <c r="J25" s="10" t="n"/>
    </row>
    <row r="26">
      <c r="A26" s="4" t="n"/>
      <c r="B26" s="6" t="n"/>
      <c r="C26" s="4" t="n"/>
      <c r="D26" s="8" t="n"/>
      <c r="E26" s="4" t="n"/>
      <c r="F26" s="8" t="n"/>
      <c r="G26" s="4" t="n"/>
      <c r="H26" s="8" t="n"/>
      <c r="I26" s="4" t="n"/>
      <c r="J26" s="10" t="n"/>
    </row>
    <row r="27">
      <c r="A27" s="4" t="n"/>
      <c r="B27" s="6" t="n"/>
      <c r="C27" s="4" t="n"/>
      <c r="D27" s="8" t="n"/>
      <c r="E27" s="4" t="n"/>
      <c r="F27" s="8" t="n"/>
      <c r="G27" s="4" t="n"/>
      <c r="H27" s="8" t="n"/>
      <c r="I27" s="4" t="n"/>
      <c r="J27" s="10" t="n"/>
    </row>
    <row r="28">
      <c r="A28" s="4" t="n"/>
      <c r="B28" s="6" t="n"/>
      <c r="C28" s="4" t="n"/>
      <c r="D28" s="8" t="n"/>
      <c r="E28" s="4" t="n"/>
      <c r="F28" s="8" t="n"/>
      <c r="G28" s="4" t="n"/>
      <c r="H28" s="8" t="n"/>
      <c r="I28" s="4" t="n"/>
      <c r="J28" s="10" t="n"/>
    </row>
    <row r="29">
      <c r="A29" s="4" t="n"/>
      <c r="B29" s="6" t="n"/>
      <c r="C29" s="4" t="n"/>
      <c r="D29" s="8" t="n"/>
      <c r="E29" s="4" t="n"/>
      <c r="F29" s="8" t="n"/>
      <c r="G29" s="4" t="n"/>
      <c r="H29" s="8" t="n"/>
      <c r="I29" s="4" t="n"/>
      <c r="J29" s="10" t="n"/>
    </row>
    <row r="30">
      <c r="A30" s="4" t="n"/>
      <c r="B30" s="6" t="n"/>
      <c r="C30" s="4" t="n"/>
      <c r="D30" s="8" t="n"/>
      <c r="E30" s="4" t="n"/>
      <c r="F30" s="8" t="n"/>
      <c r="G30" s="4" t="n"/>
      <c r="H30" s="8" t="n"/>
      <c r="I30" s="4" t="n"/>
      <c r="J30" s="10" t="n"/>
    </row>
    <row r="31">
      <c r="A31" s="4" t="n"/>
      <c r="B31" s="6" t="n"/>
      <c r="C31" s="4" t="n"/>
      <c r="D31" s="8" t="n"/>
      <c r="E31" s="4" t="n"/>
      <c r="F31" s="8" t="n"/>
      <c r="G31" s="4" t="n"/>
      <c r="H31" s="8" t="n"/>
      <c r="I31" s="4" t="n"/>
      <c r="J31" s="10" t="n"/>
    </row>
    <row r="32">
      <c r="A32" s="4" t="n"/>
      <c r="B32" s="6" t="n"/>
      <c r="C32" s="4" t="n"/>
      <c r="D32" s="8" t="n"/>
      <c r="E32" s="4" t="n"/>
      <c r="F32" s="8" t="n"/>
      <c r="G32" s="4" t="n"/>
      <c r="H32" s="8" t="n"/>
      <c r="I32" s="4" t="n"/>
      <c r="J32" s="10" t="n"/>
    </row>
    <row r="33">
      <c r="A33" s="4" t="n"/>
      <c r="B33" s="6" t="n"/>
      <c r="C33" s="4" t="n"/>
      <c r="D33" s="8" t="n"/>
      <c r="E33" s="4" t="n"/>
      <c r="F33" s="8" t="n"/>
      <c r="G33" s="4" t="n"/>
      <c r="H33" s="8" t="n"/>
      <c r="I33" s="4" t="n"/>
      <c r="J33" s="10" t="n"/>
    </row>
    <row r="34">
      <c r="A34" s="5" t="n"/>
      <c r="B34" s="7" t="n"/>
      <c r="C34" s="5" t="n"/>
      <c r="D34" s="9" t="n"/>
      <c r="E34" s="5" t="n"/>
      <c r="F34" s="9" t="n"/>
      <c r="G34" s="5" t="n"/>
      <c r="H34" s="9" t="n"/>
      <c r="I34" s="5" t="n"/>
      <c r="J34" s="11" t="n"/>
    </row>
    <row r="36">
      <c r="A36" s="12" t="inlineStr">
        <is>
          <t>ALEMÃO</t>
        </is>
      </c>
      <c r="B36" s="12" t="inlineStr">
        <is>
          <t>EMOCIONAL</t>
        </is>
      </c>
      <c r="C36" s="12" t="inlineStr">
        <is>
          <t>ESPANHOL</t>
        </is>
      </c>
      <c r="D36" s="12" t="inlineStr">
        <is>
          <t>FRANCÊS</t>
        </is>
      </c>
      <c r="E36" s="12" t="inlineStr">
        <is>
          <t>IDIOMAS</t>
        </is>
      </c>
      <c r="F36" s="12" t="inlineStr">
        <is>
          <t>INDONESIAN</t>
        </is>
      </c>
      <c r="G36" s="12" t="inlineStr">
        <is>
          <t>ITALIANO</t>
        </is>
      </c>
      <c r="H36" s="12" t="inlineStr">
        <is>
          <t>JAPONÊS</t>
        </is>
      </c>
      <c r="I36" s="12" t="inlineStr">
        <is>
          <t>KOREAN</t>
        </is>
      </c>
      <c r="J36" s="12" t="inlineStr">
        <is>
          <t>LIBRAS</t>
        </is>
      </c>
    </row>
    <row r="37">
      <c r="A37" s="12">
        <f>COUNTIFS(A23:I34, "ALEMÃO", B23:J34, "NOT DONE")</f>
        <v/>
      </c>
      <c r="B37" s="12">
        <f>COUNTIFS(A23:I34, "EMOCIONAL", B23:J34, "NOT DONE")</f>
        <v/>
      </c>
      <c r="C37" s="12">
        <f>COUNTIFS(A23:I34, "ESPANHOL", B23:J34, "NOT DONE")</f>
        <v/>
      </c>
      <c r="D37" s="12">
        <f>COUNTIFS(A23:I34, "FRANCÊS", B23:J34, "NOT DONE")</f>
        <v/>
      </c>
      <c r="E37" s="12">
        <f>COUNTIFS(A23:I34, "IDIOMAS", B23:J34, "NOT DONE")</f>
        <v/>
      </c>
      <c r="F37" s="12">
        <f>COUNTIFS(A23:I34, "INDONESIAN", B23:J34, "NOT DONE")</f>
        <v/>
      </c>
      <c r="G37" s="12">
        <f>COUNTIFS(A23:I34, "ITALIANO", B23:J34, "NOT DONE")</f>
        <v/>
      </c>
      <c r="H37" s="12">
        <f>COUNTIFS(A23:I34, "JAPONÊS", B23:J34, "NOT DONE")</f>
        <v/>
      </c>
      <c r="I37" s="12">
        <f>COUNTIFS(A23:I34, "KOREAN", B23:J34, "NOT DONE")</f>
        <v/>
      </c>
      <c r="J37" s="12">
        <f>COUNTIFS(A23:I34, "LIBRAS", B23:J34, "NOT DONE")</f>
        <v/>
      </c>
    </row>
    <row r="39">
      <c r="A39" s="15" t="inlineStr">
        <is>
          <t>TIMETABLE</t>
        </is>
      </c>
      <c r="K39" s="2" t="n"/>
    </row>
    <row r="40">
      <c r="A40" s="18" t="inlineStr">
        <is>
          <t>WEEK 3</t>
        </is>
      </c>
    </row>
    <row r="41">
      <c r="A41" s="16" t="inlineStr">
        <is>
          <t>MONDAY</t>
        </is>
      </c>
      <c r="B41" s="22" t="n"/>
      <c r="C41" s="16" t="inlineStr">
        <is>
          <t>TUESDAY</t>
        </is>
      </c>
      <c r="D41" s="22" t="n"/>
      <c r="E41" s="16" t="inlineStr">
        <is>
          <t>WEDNESDAY</t>
        </is>
      </c>
      <c r="F41" s="22" t="n"/>
      <c r="G41" s="16" t="inlineStr">
        <is>
          <t>THURSDAY</t>
        </is>
      </c>
      <c r="H41" s="22" t="n"/>
      <c r="I41" s="23" t="inlineStr">
        <is>
          <t>FRIDAY</t>
        </is>
      </c>
      <c r="J41" s="24" t="n"/>
      <c r="K41" s="1" t="n"/>
      <c r="L41" s="1" t="inlineStr">
        <is>
          <t>DONE</t>
        </is>
      </c>
      <c r="M41" s="1" t="inlineStr">
        <is>
          <t>NOT DONE</t>
        </is>
      </c>
    </row>
    <row r="42">
      <c r="A42" s="4" t="n"/>
      <c r="B42" s="6" t="n"/>
      <c r="C42" s="4" t="n"/>
      <c r="D42" s="8" t="n"/>
      <c r="E42" s="4" t="n"/>
      <c r="F42" s="8" t="n"/>
      <c r="G42" s="4" t="n"/>
      <c r="H42" s="8" t="n"/>
      <c r="I42" s="4" t="n"/>
      <c r="J42" s="10" t="n"/>
      <c r="L42" s="1" t="n"/>
      <c r="M42" s="1" t="n"/>
    </row>
    <row r="43">
      <c r="A43" s="4" t="n"/>
      <c r="B43" s="6" t="n"/>
      <c r="C43" s="4" t="n"/>
      <c r="D43" s="8" t="n"/>
      <c r="E43" s="4" t="n"/>
      <c r="F43" s="8" t="n"/>
      <c r="G43" s="4" t="n"/>
      <c r="H43" s="8" t="n"/>
      <c r="I43" s="4" t="n"/>
      <c r="J43" s="10" t="n"/>
      <c r="L43" s="1">
        <f>COUNTIF(B42:J53, "DONE")</f>
        <v/>
      </c>
      <c r="M43" s="1">
        <f>COUNTIF(B42:J53, "NOT DONE")</f>
        <v/>
      </c>
      <c r="N43">
        <f>COUNTIF(B42:J53, "DONE") / (COUNTIF(B42:J53, "DONE") + COUNTIF(B42:J53, "NOT DONE"))</f>
        <v/>
      </c>
    </row>
    <row r="44">
      <c r="A44" s="4" t="n"/>
      <c r="B44" s="6" t="n"/>
      <c r="C44" s="4" t="n"/>
      <c r="D44" s="8" t="n"/>
      <c r="E44" s="4" t="n"/>
      <c r="F44" s="8" t="n"/>
      <c r="G44" s="4" t="n"/>
      <c r="H44" s="8" t="n"/>
      <c r="I44" s="4" t="n"/>
      <c r="J44" s="10" t="n"/>
    </row>
    <row r="45">
      <c r="A45" s="4" t="n"/>
      <c r="B45" s="6" t="n"/>
      <c r="C45" s="4" t="n"/>
      <c r="D45" s="8" t="n"/>
      <c r="E45" s="4" t="n"/>
      <c r="F45" s="8" t="n"/>
      <c r="G45" s="4" t="n"/>
      <c r="H45" s="8" t="n"/>
      <c r="I45" s="4" t="n"/>
      <c r="J45" s="10" t="n"/>
    </row>
    <row r="46">
      <c r="A46" s="4" t="n"/>
      <c r="B46" s="6" t="n"/>
      <c r="C46" s="4" t="n"/>
      <c r="D46" s="8" t="n"/>
      <c r="E46" s="4" t="n"/>
      <c r="F46" s="8" t="n"/>
      <c r="G46" s="4" t="n"/>
      <c r="H46" s="8" t="n"/>
      <c r="I46" s="4" t="n"/>
      <c r="J46" s="10" t="n"/>
    </row>
    <row r="47">
      <c r="A47" s="4" t="n"/>
      <c r="B47" s="6" t="n"/>
      <c r="C47" s="4" t="n"/>
      <c r="D47" s="8" t="n"/>
      <c r="E47" s="4" t="n"/>
      <c r="F47" s="8" t="n"/>
      <c r="G47" s="4" t="n"/>
      <c r="H47" s="8" t="n"/>
      <c r="I47" s="4" t="n"/>
      <c r="J47" s="10" t="n"/>
    </row>
    <row r="48">
      <c r="A48" s="4" t="n"/>
      <c r="B48" s="6" t="n"/>
      <c r="C48" s="4" t="n"/>
      <c r="D48" s="8" t="n"/>
      <c r="E48" s="4" t="n"/>
      <c r="F48" s="8" t="n"/>
      <c r="G48" s="4" t="n"/>
      <c r="H48" s="8" t="n"/>
      <c r="I48" s="4" t="n"/>
      <c r="J48" s="10" t="n"/>
    </row>
    <row r="49">
      <c r="A49" s="4" t="n"/>
      <c r="B49" s="6" t="n"/>
      <c r="C49" s="4" t="n"/>
      <c r="D49" s="8" t="n"/>
      <c r="E49" s="4" t="n"/>
      <c r="F49" s="8" t="n"/>
      <c r="G49" s="4" t="n"/>
      <c r="H49" s="8" t="n"/>
      <c r="I49" s="4" t="n"/>
      <c r="J49" s="10" t="n"/>
    </row>
    <row r="50">
      <c r="A50" s="4" t="n"/>
      <c r="B50" s="6" t="n"/>
      <c r="C50" s="4" t="n"/>
      <c r="D50" s="8" t="n"/>
      <c r="E50" s="4" t="n"/>
      <c r="F50" s="8" t="n"/>
      <c r="G50" s="4" t="n"/>
      <c r="H50" s="8" t="n"/>
      <c r="I50" s="4" t="n"/>
      <c r="J50" s="10" t="n"/>
    </row>
    <row r="51">
      <c r="A51" s="4" t="n"/>
      <c r="B51" s="6" t="n"/>
      <c r="C51" s="4" t="n"/>
      <c r="D51" s="8" t="n"/>
      <c r="E51" s="4" t="n"/>
      <c r="F51" s="8" t="n"/>
      <c r="G51" s="4" t="n"/>
      <c r="H51" s="8" t="n"/>
      <c r="I51" s="4" t="n"/>
      <c r="J51" s="10" t="n"/>
    </row>
    <row r="52">
      <c r="A52" s="4" t="n"/>
      <c r="B52" s="6" t="n"/>
      <c r="C52" s="4" t="n"/>
      <c r="D52" s="8" t="n"/>
      <c r="E52" s="4" t="n"/>
      <c r="F52" s="8" t="n"/>
      <c r="G52" s="4" t="n"/>
      <c r="H52" s="8" t="n"/>
      <c r="I52" s="4" t="n"/>
      <c r="J52" s="10" t="n"/>
    </row>
    <row r="53">
      <c r="A53" s="5" t="n"/>
      <c r="B53" s="7" t="n"/>
      <c r="C53" s="5" t="n"/>
      <c r="D53" s="9" t="n"/>
      <c r="E53" s="5" t="n"/>
      <c r="F53" s="9" t="n"/>
      <c r="G53" s="5" t="n"/>
      <c r="H53" s="9" t="n"/>
      <c r="I53" s="5" t="n"/>
      <c r="J53" s="11" t="n"/>
    </row>
    <row r="55">
      <c r="A55" s="12" t="inlineStr">
        <is>
          <t>ALEMÃO</t>
        </is>
      </c>
      <c r="B55" s="12" t="inlineStr">
        <is>
          <t>EMOCIONAL</t>
        </is>
      </c>
      <c r="C55" s="12" t="inlineStr">
        <is>
          <t>ESPANHOL</t>
        </is>
      </c>
      <c r="D55" s="12" t="inlineStr">
        <is>
          <t>FRANCÊS</t>
        </is>
      </c>
      <c r="E55" s="12" t="inlineStr">
        <is>
          <t>IDIOMAS</t>
        </is>
      </c>
      <c r="F55" s="12" t="inlineStr">
        <is>
          <t>INDONESIAN</t>
        </is>
      </c>
      <c r="G55" s="12" t="inlineStr">
        <is>
          <t>ITALIANO</t>
        </is>
      </c>
      <c r="H55" s="12" t="inlineStr">
        <is>
          <t>JAPONÊS</t>
        </is>
      </c>
      <c r="I55" s="12" t="inlineStr">
        <is>
          <t>KOREAN</t>
        </is>
      </c>
      <c r="J55" s="12" t="inlineStr">
        <is>
          <t>LIBRAS</t>
        </is>
      </c>
    </row>
    <row r="56">
      <c r="A56" s="12">
        <f>COUNTIFS(A42:I53, "ALEMÃO", B42:J53, "NOT DONE")</f>
        <v/>
      </c>
      <c r="B56" s="12">
        <f>COUNTIFS(A42:I53, "EMOCIONAL", B42:J53, "NOT DONE")</f>
        <v/>
      </c>
      <c r="C56" s="12">
        <f>COUNTIFS(A42:I53, "ESPANHOL", B42:J53, "NOT DONE")</f>
        <v/>
      </c>
      <c r="D56" s="12">
        <f>COUNTIFS(A42:I53, "FRANCÊS", B42:J53, "NOT DONE")</f>
        <v/>
      </c>
      <c r="E56" s="12">
        <f>COUNTIFS(A42:I53, "IDIOMAS", B42:J53, "NOT DONE")</f>
        <v/>
      </c>
      <c r="F56" s="12">
        <f>COUNTIFS(A42:I53, "INDONESIAN", B42:J53, "NOT DONE")</f>
        <v/>
      </c>
      <c r="G56" s="12">
        <f>COUNTIFS(A42:I53, "ITALIANO", B42:J53, "NOT DONE")</f>
        <v/>
      </c>
      <c r="H56" s="12">
        <f>COUNTIFS(A42:I53, "JAPONÊS", B42:J53, "NOT DONE")</f>
        <v/>
      </c>
      <c r="I56" s="12">
        <f>COUNTIFS(A42:I53, "KOREAN", B42:J53, "NOT DONE")</f>
        <v/>
      </c>
      <c r="J56" s="12">
        <f>COUNTIFS(A42:I53, "LIBRAS", B42:J53, "NOT DONE")</f>
        <v/>
      </c>
    </row>
    <row r="58">
      <c r="A58" s="15" t="inlineStr">
        <is>
          <t>TIMETABLE</t>
        </is>
      </c>
      <c r="K58" s="2" t="n"/>
    </row>
    <row r="59">
      <c r="A59" s="18" t="inlineStr">
        <is>
          <t>WEEK 4</t>
        </is>
      </c>
    </row>
    <row r="60">
      <c r="A60" s="16" t="inlineStr">
        <is>
          <t>MONDAY</t>
        </is>
      </c>
      <c r="B60" s="22" t="n"/>
      <c r="C60" s="16" t="inlineStr">
        <is>
          <t>TUESDAY</t>
        </is>
      </c>
      <c r="D60" s="22" t="n"/>
      <c r="E60" s="16" t="inlineStr">
        <is>
          <t>WEDNESDAY</t>
        </is>
      </c>
      <c r="F60" s="22" t="n"/>
      <c r="G60" s="16" t="inlineStr">
        <is>
          <t>THURSDAY</t>
        </is>
      </c>
      <c r="H60" s="22" t="n"/>
      <c r="I60" s="23" t="inlineStr">
        <is>
          <t>FRIDAY</t>
        </is>
      </c>
      <c r="J60" s="24" t="n"/>
      <c r="K60" s="1" t="n"/>
      <c r="L60" s="1" t="inlineStr">
        <is>
          <t>DONE</t>
        </is>
      </c>
      <c r="M60" s="1" t="inlineStr">
        <is>
          <t>NOT DONE</t>
        </is>
      </c>
    </row>
    <row r="61">
      <c r="A61" s="4" t="n"/>
      <c r="B61" s="6" t="n"/>
      <c r="C61" s="4" t="n"/>
      <c r="D61" s="8" t="n"/>
      <c r="E61" s="4" t="n"/>
      <c r="F61" s="8" t="n"/>
      <c r="G61" s="4" t="n"/>
      <c r="H61" s="8" t="n"/>
      <c r="I61" s="4" t="n"/>
      <c r="J61" s="10" t="n"/>
      <c r="L61" s="1" t="n"/>
      <c r="M61" s="1" t="n"/>
    </row>
    <row r="62">
      <c r="A62" s="4" t="n"/>
      <c r="B62" s="6" t="n"/>
      <c r="C62" s="4" t="n"/>
      <c r="D62" s="8" t="n"/>
      <c r="E62" s="4" t="n"/>
      <c r="F62" s="8" t="n"/>
      <c r="G62" s="4" t="n"/>
      <c r="H62" s="8" t="n"/>
      <c r="I62" s="4" t="n"/>
      <c r="J62" s="10" t="n"/>
      <c r="L62" s="1">
        <f>COUNTIF(B61:J72, "DONE")</f>
        <v/>
      </c>
      <c r="M62" s="1">
        <f>COUNTIF(B61:J72, "NOT DONE")</f>
        <v/>
      </c>
      <c r="N62">
        <f>COUNTIF(B61:J72, "DONE") / (COUNTIF(B61:J72, "DONE") + COUNTIF(B61:J72, "NOT DONE"))</f>
        <v/>
      </c>
    </row>
    <row r="63">
      <c r="A63" s="4" t="n"/>
      <c r="B63" s="6" t="n"/>
      <c r="C63" s="4" t="n"/>
      <c r="D63" s="8" t="n"/>
      <c r="E63" s="4" t="n"/>
      <c r="F63" s="8" t="n"/>
      <c r="G63" s="4" t="n"/>
      <c r="H63" s="8" t="n"/>
      <c r="I63" s="4" t="n"/>
      <c r="J63" s="10" t="n"/>
    </row>
    <row r="64">
      <c r="A64" s="4" t="n"/>
      <c r="B64" s="6" t="n"/>
      <c r="C64" s="4" t="n"/>
      <c r="D64" s="8" t="n"/>
      <c r="E64" s="4" t="n"/>
      <c r="F64" s="8" t="n"/>
      <c r="G64" s="4" t="n"/>
      <c r="H64" s="8" t="n"/>
      <c r="I64" s="4" t="n"/>
      <c r="J64" s="10" t="n"/>
    </row>
    <row r="65">
      <c r="A65" s="4" t="n"/>
      <c r="B65" s="6" t="n"/>
      <c r="C65" s="4" t="n"/>
      <c r="D65" s="8" t="n"/>
      <c r="E65" s="4" t="n"/>
      <c r="F65" s="8" t="n"/>
      <c r="G65" s="4" t="n"/>
      <c r="H65" s="8" t="n"/>
      <c r="I65" s="4" t="n"/>
      <c r="J65" s="10" t="n"/>
    </row>
    <row r="66">
      <c r="A66" s="4" t="n"/>
      <c r="B66" s="6" t="n"/>
      <c r="C66" s="4" t="n"/>
      <c r="D66" s="8" t="n"/>
      <c r="E66" s="4" t="n"/>
      <c r="F66" s="8" t="n"/>
      <c r="G66" s="4" t="n"/>
      <c r="H66" s="8" t="n"/>
      <c r="I66" s="4" t="n"/>
      <c r="J66" s="10" t="n"/>
    </row>
    <row r="67">
      <c r="A67" s="4" t="n"/>
      <c r="B67" s="6" t="n"/>
      <c r="C67" s="4" t="n"/>
      <c r="D67" s="8" t="n"/>
      <c r="E67" s="4" t="n"/>
      <c r="F67" s="8" t="n"/>
      <c r="G67" s="4" t="n"/>
      <c r="H67" s="8" t="n"/>
      <c r="I67" s="4" t="n"/>
      <c r="J67" s="10" t="n"/>
    </row>
    <row r="68">
      <c r="A68" s="4" t="n"/>
      <c r="B68" s="6" t="n"/>
      <c r="C68" s="4" t="n"/>
      <c r="D68" s="8" t="n"/>
      <c r="E68" s="4" t="n"/>
      <c r="F68" s="8" t="n"/>
      <c r="G68" s="4" t="n"/>
      <c r="H68" s="8" t="n"/>
      <c r="I68" s="4" t="n"/>
      <c r="J68" s="10" t="n"/>
    </row>
    <row r="69">
      <c r="A69" s="4" t="n"/>
      <c r="B69" s="6" t="n"/>
      <c r="C69" s="4" t="n"/>
      <c r="D69" s="8" t="n"/>
      <c r="E69" s="4" t="n"/>
      <c r="F69" s="8" t="n"/>
      <c r="G69" s="4" t="n"/>
      <c r="H69" s="8" t="n"/>
      <c r="I69" s="4" t="n"/>
      <c r="J69" s="10" t="n"/>
    </row>
    <row r="70">
      <c r="A70" s="4" t="n"/>
      <c r="B70" s="6" t="n"/>
      <c r="C70" s="4" t="n"/>
      <c r="D70" s="8" t="n"/>
      <c r="E70" s="4" t="n"/>
      <c r="F70" s="8" t="n"/>
      <c r="G70" s="4" t="n"/>
      <c r="H70" s="8" t="n"/>
      <c r="I70" s="4" t="n"/>
      <c r="J70" s="10" t="n"/>
    </row>
    <row r="71">
      <c r="A71" s="4" t="n"/>
      <c r="B71" s="6" t="n"/>
      <c r="C71" s="4" t="n"/>
      <c r="D71" s="8" t="n"/>
      <c r="E71" s="4" t="n"/>
      <c r="F71" s="8" t="n"/>
      <c r="G71" s="4" t="n"/>
      <c r="H71" s="8" t="n"/>
      <c r="I71" s="4" t="n"/>
      <c r="J71" s="10" t="n"/>
    </row>
    <row r="72">
      <c r="A72" s="5" t="n"/>
      <c r="B72" s="7" t="n"/>
      <c r="C72" s="5" t="n"/>
      <c r="D72" s="9" t="n"/>
      <c r="E72" s="5" t="n"/>
      <c r="F72" s="9" t="n"/>
      <c r="G72" s="5" t="n"/>
      <c r="H72" s="9" t="n"/>
      <c r="I72" s="5" t="n"/>
      <c r="J72" s="11" t="n"/>
    </row>
    <row r="74">
      <c r="A74" s="12" t="inlineStr">
        <is>
          <t>ALEMÃO</t>
        </is>
      </c>
      <c r="B74" s="12" t="inlineStr">
        <is>
          <t>EMOCIONAL</t>
        </is>
      </c>
      <c r="C74" s="12" t="inlineStr">
        <is>
          <t>ESPANHOL</t>
        </is>
      </c>
      <c r="D74" s="12" t="inlineStr">
        <is>
          <t>FRANCÊS</t>
        </is>
      </c>
      <c r="E74" s="12" t="inlineStr">
        <is>
          <t>IDIOMAS</t>
        </is>
      </c>
      <c r="F74" s="12" t="inlineStr">
        <is>
          <t>INDONESIAN</t>
        </is>
      </c>
      <c r="G74" s="12" t="inlineStr">
        <is>
          <t>ITALIANO</t>
        </is>
      </c>
      <c r="H74" s="12" t="inlineStr">
        <is>
          <t>JAPONÊS</t>
        </is>
      </c>
      <c r="I74" s="12" t="inlineStr">
        <is>
          <t>KOREAN</t>
        </is>
      </c>
      <c r="J74" s="12" t="inlineStr">
        <is>
          <t>LIBRAS</t>
        </is>
      </c>
    </row>
    <row r="75">
      <c r="A75" s="12">
        <f>COUNTIFS(A61:I72, "ALEMÃO", B61:J72, "NOT DONE")</f>
        <v/>
      </c>
      <c r="B75" s="12">
        <f>COUNTIFS(A61:I72, "EMOCIONAL", B61:J72, "NOT DONE")</f>
        <v/>
      </c>
      <c r="C75" s="12">
        <f>COUNTIFS(A61:I72, "ESPANHOL", B61:J72, "NOT DONE")</f>
        <v/>
      </c>
      <c r="D75" s="12">
        <f>COUNTIFS(A61:I72, "FRANCÊS", B61:J72, "NOT DONE")</f>
        <v/>
      </c>
      <c r="E75" s="12">
        <f>COUNTIFS(A61:I72, "IDIOMAS", B61:J72, "NOT DONE")</f>
        <v/>
      </c>
      <c r="F75" s="12">
        <f>COUNTIFS(A61:I72, "INDONESIAN", B61:J72, "NOT DONE")</f>
        <v/>
      </c>
      <c r="G75" s="12">
        <f>COUNTIFS(A61:I72, "ITALIANO", B61:J72, "NOT DONE")</f>
        <v/>
      </c>
      <c r="H75" s="12">
        <f>COUNTIFS(A61:I72, "JAPONÊS", B61:J72, "NOT DONE")</f>
        <v/>
      </c>
      <c r="I75" s="12">
        <f>COUNTIFS(A61:I72, "KOREAN", B61:J72, "NOT DONE")</f>
        <v/>
      </c>
      <c r="J75" s="12">
        <f>COUNTIFS(A61:I72, "LIBRAS", B61:J72, "NOT DONE")</f>
        <v/>
      </c>
    </row>
  </sheetData>
  <mergeCells count="28">
    <mergeCell ref="A60:B60"/>
    <mergeCell ref="A20:J20"/>
    <mergeCell ref="A58:J58"/>
    <mergeCell ref="A40:J40"/>
    <mergeCell ref="A41:B41"/>
    <mergeCell ref="C41:D41"/>
    <mergeCell ref="I41:J41"/>
    <mergeCell ref="A39:J39"/>
    <mergeCell ref="A59:J59"/>
    <mergeCell ref="C22:D22"/>
    <mergeCell ref="I22:J22"/>
    <mergeCell ref="E60:F60"/>
    <mergeCell ref="A3:B3"/>
    <mergeCell ref="G3:H3"/>
    <mergeCell ref="I3:J3"/>
    <mergeCell ref="A1:J1"/>
    <mergeCell ref="C60:D60"/>
    <mergeCell ref="I60:J60"/>
    <mergeCell ref="A22:B22"/>
    <mergeCell ref="A2:J2"/>
    <mergeCell ref="E41:F41"/>
    <mergeCell ref="G41:H41"/>
    <mergeCell ref="A21:J21"/>
    <mergeCell ref="E22:F22"/>
    <mergeCell ref="G22:H22"/>
    <mergeCell ref="C3:D3"/>
    <mergeCell ref="G60:H60"/>
    <mergeCell ref="E3:F3"/>
  </mergeCells>
  <conditionalFormatting sqref="B4:B15 D4:D15 F4:F15 H4:H15 J4:J15">
    <cfRule type="containsText" priority="8" operator="containsText" dxfId="1" text="DONE">
      <formula>NOT(ISERROR(SEARCH("DONE",B4)))</formula>
    </cfRule>
    <cfRule type="containsText" priority="7" operator="containsText" dxfId="0" text="NOT DONE">
      <formula>NOT(ISERROR(SEARCH("NOT DONE",B4)))</formula>
    </cfRule>
  </conditionalFormatting>
  <conditionalFormatting sqref="B23:B34 D23:D34 F23:F34 H23:H34 J23:J34">
    <cfRule type="containsText" priority="6" operator="containsText" dxfId="1" text="DONE">
      <formula>NOT(ISERROR(SEARCH("DONE",B23)))</formula>
    </cfRule>
    <cfRule type="containsText" priority="5" operator="containsText" dxfId="0" text="NOT DONE">
      <formula>NOT(ISERROR(SEARCH("NOT DONE",B23)))</formula>
    </cfRule>
  </conditionalFormatting>
  <conditionalFormatting sqref="B42:B53 D42:D53 F42:F53 H42:H53 J42:J53">
    <cfRule type="containsText" priority="4" operator="containsText" dxfId="1" text="DONE">
      <formula>NOT(ISERROR(SEARCH("DONE",B42)))</formula>
    </cfRule>
    <cfRule type="containsText" priority="3" operator="containsText" dxfId="0" text="NOT DONE">
      <formula>NOT(ISERROR(SEARCH("NOT DONE",B42)))</formula>
    </cfRule>
  </conditionalFormatting>
  <conditionalFormatting sqref="B61:B72 D61:D72 F61:F72 H61:H72 J61:J72">
    <cfRule type="containsText" priority="2" operator="containsText" dxfId="1" text="DONE">
      <formula>NOT(ISERROR(SEARCH("DONE",B61)))</formula>
    </cfRule>
    <cfRule type="containsText" priority="1" operator="containsText" dxfId="0" text="NOT DONE">
      <formula>NOT(ISERROR(SEARCH("NOT DONE",B61)))</formula>
    </cfRule>
  </conditionalFormatting>
  <dataValidations count="1">
    <dataValidation sqref="B4:B15 B23:B34 B42:B53 B61:B72 D4:D15 D23:D34 D42:D53 D61:D72 F4:F15 F23:F34 F42:F53 F61:F72 H4:H15 H23:H34 H42:H53 H61:H72 J4:J15 J23:J34 J42:J53 J61:J72" showDropDown="0" showInputMessage="1" showErrorMessage="1" allowBlank="1" type="list">
      <formula1>$S$1:$S$2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cols>
    <col width="11.42578125" customWidth="1" style="3" min="1" max="1"/>
    <col width="14" customWidth="1" style="3" min="2" max="2"/>
    <col width="12.7109375" customWidth="1" style="3" min="3" max="3"/>
    <col width="11.7109375" customWidth="1" style="3" min="4" max="4"/>
    <col width="11.42578125" customWidth="1" style="3" min="5" max="5"/>
    <col width="14.28515625" customWidth="1" style="3" min="6" max="6"/>
    <col width="11" customWidth="1" style="3" min="7" max="7"/>
    <col width="11.140625" customWidth="1" style="3" min="8" max="8"/>
    <col width="10.5703125" customWidth="1" style="3" min="9" max="9"/>
    <col width="11.42578125" customWidth="1" style="3" min="10" max="10"/>
  </cols>
  <sheetData>
    <row r="1">
      <c r="A1" s="15" t="inlineStr">
        <is>
          <t>TIMETABLE</t>
        </is>
      </c>
      <c r="K1" s="2" t="n"/>
      <c r="S1" t="inlineStr">
        <is>
          <t>DONE</t>
        </is>
      </c>
    </row>
    <row r="2">
      <c r="A2" s="18" t="inlineStr">
        <is>
          <t>WEEK 1</t>
        </is>
      </c>
      <c r="S2" t="inlineStr">
        <is>
          <t>NOT DONE</t>
        </is>
      </c>
    </row>
    <row r="3">
      <c r="A3" s="16" t="inlineStr">
        <is>
          <t>MONDAY</t>
        </is>
      </c>
      <c r="B3" s="22" t="n"/>
      <c r="C3" s="16" t="inlineStr">
        <is>
          <t>TUESDAY</t>
        </is>
      </c>
      <c r="D3" s="22" t="n"/>
      <c r="E3" s="16" t="inlineStr">
        <is>
          <t>WEDNESDAY</t>
        </is>
      </c>
      <c r="F3" s="22" t="n"/>
      <c r="G3" s="16" t="inlineStr">
        <is>
          <t>THURSDAY</t>
        </is>
      </c>
      <c r="H3" s="22" t="n"/>
      <c r="I3" s="23" t="inlineStr">
        <is>
          <t>FRIDAY</t>
        </is>
      </c>
      <c r="J3" s="24" t="n"/>
      <c r="K3" s="1" t="n"/>
      <c r="L3" s="1" t="inlineStr">
        <is>
          <t>DONE</t>
        </is>
      </c>
      <c r="M3" s="1" t="inlineStr">
        <is>
          <t>NOT DONE</t>
        </is>
      </c>
    </row>
    <row r="4">
      <c r="A4" s="4" t="n"/>
      <c r="B4" s="6" t="n"/>
      <c r="C4" s="4" t="n"/>
      <c r="D4" s="8" t="n"/>
      <c r="E4" s="4" t="n"/>
      <c r="F4" s="8" t="n"/>
      <c r="G4" s="4" t="n"/>
      <c r="H4" s="8" t="n"/>
      <c r="I4" s="4" t="n"/>
      <c r="J4" s="10" t="n"/>
      <c r="L4" s="1" t="n"/>
      <c r="M4" s="1" t="n"/>
    </row>
    <row r="5">
      <c r="A5" s="4" t="n"/>
      <c r="B5" s="6" t="n"/>
      <c r="C5" s="4" t="n"/>
      <c r="D5" s="8" t="n"/>
      <c r="E5" s="4" t="n"/>
      <c r="F5" s="8" t="n"/>
      <c r="G5" s="4" t="n"/>
      <c r="H5" s="8" t="n"/>
      <c r="I5" s="4" t="n"/>
      <c r="J5" s="10" t="n"/>
      <c r="L5" s="1">
        <f>COUNTIF(B4:J15, "DONE")</f>
        <v/>
      </c>
      <c r="M5" s="1">
        <f>COUNTIF(B4:J15, "NOT DONE")</f>
        <v/>
      </c>
      <c r="N5">
        <f>COUNTIF(B4:J15, "DONE") / (COUNTIF(B4:J15, "DONE") + COUNTIF(B4:J15, "NOT DONE"))</f>
        <v/>
      </c>
    </row>
    <row r="6">
      <c r="A6" s="4" t="n"/>
      <c r="B6" s="6" t="n"/>
      <c r="C6" s="4" t="n"/>
      <c r="D6" s="8" t="n"/>
      <c r="E6" s="4" t="n"/>
      <c r="F6" s="8" t="n"/>
      <c r="G6" s="4" t="n"/>
      <c r="H6" s="8" t="n"/>
      <c r="I6" s="4" t="n"/>
      <c r="J6" s="10" t="n"/>
    </row>
    <row r="7">
      <c r="A7" s="4" t="n"/>
      <c r="B7" s="6" t="n"/>
      <c r="C7" s="4" t="n"/>
      <c r="D7" s="8" t="n"/>
      <c r="E7" s="4" t="n"/>
      <c r="F7" s="8" t="n"/>
      <c r="G7" s="4" t="n"/>
      <c r="H7" s="8" t="n"/>
      <c r="I7" s="4" t="n"/>
      <c r="J7" s="10" t="n"/>
    </row>
    <row r="8">
      <c r="A8" s="4" t="n"/>
      <c r="B8" s="6" t="n"/>
      <c r="C8" s="4" t="n"/>
      <c r="D8" s="8" t="n"/>
      <c r="E8" s="4" t="n"/>
      <c r="F8" s="8" t="n"/>
      <c r="G8" s="4" t="n"/>
      <c r="H8" s="8" t="n"/>
      <c r="I8" s="4" t="n"/>
      <c r="J8" s="10" t="n"/>
    </row>
    <row r="9">
      <c r="A9" s="4" t="n"/>
      <c r="B9" s="6" t="n"/>
      <c r="C9" s="4" t="n"/>
      <c r="D9" s="8" t="n"/>
      <c r="E9" s="4" t="n"/>
      <c r="F9" s="8" t="n"/>
      <c r="G9" s="4" t="n"/>
      <c r="H9" s="8" t="n"/>
      <c r="I9" s="4" t="n"/>
      <c r="J9" s="10" t="n"/>
    </row>
    <row r="10">
      <c r="A10" s="4" t="n"/>
      <c r="B10" s="6" t="n"/>
      <c r="C10" s="4" t="n"/>
      <c r="D10" s="8" t="n"/>
      <c r="E10" s="4" t="n"/>
      <c r="F10" s="8" t="n"/>
      <c r="G10" s="4" t="n"/>
      <c r="H10" s="8" t="n"/>
      <c r="I10" s="4" t="n"/>
      <c r="J10" s="10" t="n"/>
    </row>
    <row r="11">
      <c r="A11" s="4" t="n"/>
      <c r="B11" s="6" t="n"/>
      <c r="C11" s="4" t="n"/>
      <c r="D11" s="8" t="n"/>
      <c r="E11" s="4" t="n"/>
      <c r="F11" s="8" t="n"/>
      <c r="G11" s="4" t="n"/>
      <c r="H11" s="8" t="n"/>
      <c r="I11" s="4" t="n"/>
      <c r="J11" s="10" t="n"/>
    </row>
    <row r="12">
      <c r="A12" s="4" t="n"/>
      <c r="B12" s="6" t="n"/>
      <c r="C12" s="4" t="n"/>
      <c r="D12" s="8" t="n"/>
      <c r="E12" s="4" t="n"/>
      <c r="F12" s="8" t="n"/>
      <c r="G12" s="4" t="n"/>
      <c r="H12" s="8" t="n"/>
      <c r="I12" s="4" t="n"/>
      <c r="J12" s="10" t="n"/>
    </row>
    <row r="13">
      <c r="A13" s="4" t="n"/>
      <c r="B13" s="6" t="n"/>
      <c r="C13" s="4" t="n"/>
      <c r="D13" s="8" t="n"/>
      <c r="E13" s="4" t="n"/>
      <c r="F13" s="8" t="n"/>
      <c r="G13" s="4" t="n"/>
      <c r="H13" s="8" t="n"/>
      <c r="I13" s="4" t="n"/>
      <c r="J13" s="10" t="n"/>
    </row>
    <row r="14">
      <c r="A14" s="4" t="n"/>
      <c r="B14" s="6" t="n"/>
      <c r="C14" s="4" t="n"/>
      <c r="D14" s="8" t="n"/>
      <c r="E14" s="4" t="n"/>
      <c r="F14" s="8" t="n"/>
      <c r="G14" s="4" t="n"/>
      <c r="H14" s="8" t="n"/>
      <c r="I14" s="4" t="n"/>
      <c r="J14" s="10" t="n"/>
    </row>
    <row r="15">
      <c r="A15" s="5" t="n"/>
      <c r="B15" s="7" t="n"/>
      <c r="C15" s="5" t="n"/>
      <c r="D15" s="9" t="n"/>
      <c r="E15" s="5" t="n"/>
      <c r="F15" s="9" t="n"/>
      <c r="G15" s="5" t="n"/>
      <c r="H15" s="9" t="n"/>
      <c r="I15" s="5" t="n"/>
      <c r="J15" s="11" t="n"/>
    </row>
    <row r="17">
      <c r="A17" s="12" t="inlineStr">
        <is>
          <t>ALEMÃO</t>
        </is>
      </c>
      <c r="B17" s="12" t="inlineStr">
        <is>
          <t>EMOCIONAL</t>
        </is>
      </c>
      <c r="C17" s="12" t="inlineStr">
        <is>
          <t>ESPANHOL</t>
        </is>
      </c>
      <c r="D17" s="12" t="inlineStr">
        <is>
          <t>FRANCÊS</t>
        </is>
      </c>
      <c r="E17" s="12" t="inlineStr">
        <is>
          <t>IDIOMAS</t>
        </is>
      </c>
      <c r="F17" s="12" t="inlineStr">
        <is>
          <t>INDONESIAN</t>
        </is>
      </c>
      <c r="G17" s="12" t="inlineStr">
        <is>
          <t>ITALIANO</t>
        </is>
      </c>
      <c r="H17" s="12" t="inlineStr">
        <is>
          <t>JAPONÊS</t>
        </is>
      </c>
      <c r="I17" s="12" t="inlineStr">
        <is>
          <t>KOREAN</t>
        </is>
      </c>
      <c r="J17" s="12" t="inlineStr">
        <is>
          <t>LIBRAS</t>
        </is>
      </c>
    </row>
    <row r="18">
      <c r="A18" s="12">
        <f>COUNTIFS(A4:I15, "ALEMÃO", B4:J15, "NOT DONE")</f>
        <v/>
      </c>
      <c r="B18" s="12">
        <f>COUNTIFS(A4:I15, "EMOCIONAL", B4:J15, "NOT DONE")</f>
        <v/>
      </c>
      <c r="C18" s="12">
        <f>COUNTIFS(A4:I15, "ESPANHOL", B4:J15, "NOT DONE")</f>
        <v/>
      </c>
      <c r="D18" s="12">
        <f>COUNTIFS(A4:I15, "FRANCÊS", B4:J15, "NOT DONE")</f>
        <v/>
      </c>
      <c r="E18" s="12">
        <f>COUNTIFS(A4:I15, "IDIOMAS", B4:J15, "NOT DONE")</f>
        <v/>
      </c>
      <c r="F18" s="12">
        <f>COUNTIFS(A4:I15, "INDONESIAN", B4:J15, "NOT DONE")</f>
        <v/>
      </c>
      <c r="G18" s="12">
        <f>COUNTIFS(A4:I15, "ITALIANO", B4:J15, "NOT DONE")</f>
        <v/>
      </c>
      <c r="H18" s="12">
        <f>COUNTIFS(A4:I15, "JAPONÊS", B4:J15, "NOT DONE")</f>
        <v/>
      </c>
      <c r="I18" s="12">
        <f>COUNTIFS(A4:I15, "KOREAN", B4:J15, "NOT DONE")</f>
        <v/>
      </c>
      <c r="J18" s="12">
        <f>COUNTIFS(A4:I15, "LIBRAS", B4:J15, "NOT DONE")</f>
        <v/>
      </c>
    </row>
    <row r="20">
      <c r="A20" s="15" t="inlineStr">
        <is>
          <t>TIMETABLE</t>
        </is>
      </c>
      <c r="K20" s="2" t="n"/>
    </row>
    <row r="21">
      <c r="A21" s="18" t="inlineStr">
        <is>
          <t>WEEK 2</t>
        </is>
      </c>
    </row>
    <row r="22">
      <c r="A22" s="16" t="inlineStr">
        <is>
          <t>MONDAY</t>
        </is>
      </c>
      <c r="B22" s="22" t="n"/>
      <c r="C22" s="16" t="inlineStr">
        <is>
          <t>TUESDAY</t>
        </is>
      </c>
      <c r="D22" s="22" t="n"/>
      <c r="E22" s="16" t="inlineStr">
        <is>
          <t>WEDNESDAY</t>
        </is>
      </c>
      <c r="F22" s="22" t="n"/>
      <c r="G22" s="16" t="inlineStr">
        <is>
          <t>THURSDAY</t>
        </is>
      </c>
      <c r="H22" s="22" t="n"/>
      <c r="I22" s="23" t="inlineStr">
        <is>
          <t>FRIDAY</t>
        </is>
      </c>
      <c r="J22" s="24" t="n"/>
      <c r="K22" s="1" t="n"/>
      <c r="L22" s="1" t="inlineStr">
        <is>
          <t>DONE</t>
        </is>
      </c>
      <c r="M22" s="1" t="inlineStr">
        <is>
          <t>NOT DONE</t>
        </is>
      </c>
    </row>
    <row r="23">
      <c r="A23" s="4" t="n"/>
      <c r="B23" s="6" t="n"/>
      <c r="C23" s="4" t="n"/>
      <c r="D23" s="8" t="n"/>
      <c r="E23" s="4" t="n"/>
      <c r="F23" s="8" t="n"/>
      <c r="G23" s="4" t="n"/>
      <c r="H23" s="8" t="n"/>
      <c r="I23" s="4" t="n"/>
      <c r="J23" s="10" t="n"/>
      <c r="L23" s="1" t="n"/>
      <c r="M23" s="1" t="n"/>
    </row>
    <row r="24">
      <c r="A24" s="4" t="n"/>
      <c r="B24" s="6" t="n"/>
      <c r="C24" s="4" t="n"/>
      <c r="D24" s="8" t="n"/>
      <c r="E24" s="4" t="n"/>
      <c r="F24" s="8" t="n"/>
      <c r="G24" s="4" t="n"/>
      <c r="H24" s="8" t="n"/>
      <c r="I24" s="4" t="n"/>
      <c r="J24" s="10" t="n"/>
      <c r="L24" s="1">
        <f>COUNTIF(B23:J34, "DONE")</f>
        <v/>
      </c>
      <c r="M24" s="1">
        <f>COUNTIF(B23:J34, "NOT DONE")</f>
        <v/>
      </c>
      <c r="N24">
        <f>COUNTIF(B23:J34, "DONE") / (COUNTIF(B23:J34, "DONE") + COUNTIF(B23:J34, "NOT DONE"))</f>
        <v/>
      </c>
    </row>
    <row r="25">
      <c r="A25" s="4" t="n"/>
      <c r="B25" s="6" t="n"/>
      <c r="C25" s="4" t="n"/>
      <c r="D25" s="8" t="n"/>
      <c r="E25" s="4" t="n"/>
      <c r="F25" s="8" t="n"/>
      <c r="G25" s="4" t="n"/>
      <c r="H25" s="8" t="n"/>
      <c r="I25" s="4" t="n"/>
      <c r="J25" s="10" t="n"/>
    </row>
    <row r="26">
      <c r="A26" s="4" t="n"/>
      <c r="B26" s="6" t="n"/>
      <c r="C26" s="4" t="n"/>
      <c r="D26" s="8" t="n"/>
      <c r="E26" s="4" t="n"/>
      <c r="F26" s="8" t="n"/>
      <c r="G26" s="4" t="n"/>
      <c r="H26" s="8" t="n"/>
      <c r="I26" s="4" t="n"/>
      <c r="J26" s="10" t="n"/>
    </row>
    <row r="27">
      <c r="A27" s="4" t="n"/>
      <c r="B27" s="6" t="n"/>
      <c r="C27" s="4" t="n"/>
      <c r="D27" s="8" t="n"/>
      <c r="E27" s="4" t="n"/>
      <c r="F27" s="8" t="n"/>
      <c r="G27" s="4" t="n"/>
      <c r="H27" s="8" t="n"/>
      <c r="I27" s="4" t="n"/>
      <c r="J27" s="10" t="n"/>
    </row>
    <row r="28">
      <c r="A28" s="4" t="n"/>
      <c r="B28" s="6" t="n"/>
      <c r="C28" s="4" t="n"/>
      <c r="D28" s="8" t="n"/>
      <c r="E28" s="4" t="n"/>
      <c r="F28" s="8" t="n"/>
      <c r="G28" s="4" t="n"/>
      <c r="H28" s="8" t="n"/>
      <c r="I28" s="4" t="n"/>
      <c r="J28" s="10" t="n"/>
    </row>
    <row r="29">
      <c r="A29" s="4" t="n"/>
      <c r="B29" s="6" t="n"/>
      <c r="C29" s="4" t="n"/>
      <c r="D29" s="8" t="n"/>
      <c r="E29" s="4" t="n"/>
      <c r="F29" s="8" t="n"/>
      <c r="G29" s="4" t="n"/>
      <c r="H29" s="8" t="n"/>
      <c r="I29" s="4" t="n"/>
      <c r="J29" s="10" t="n"/>
    </row>
    <row r="30">
      <c r="A30" s="4" t="n"/>
      <c r="B30" s="6" t="n"/>
      <c r="C30" s="4" t="n"/>
      <c r="D30" s="8" t="n"/>
      <c r="E30" s="4" t="n"/>
      <c r="F30" s="8" t="n"/>
      <c r="G30" s="4" t="n"/>
      <c r="H30" s="8" t="n"/>
      <c r="I30" s="4" t="n"/>
      <c r="J30" s="10" t="n"/>
    </row>
    <row r="31">
      <c r="A31" s="4" t="n"/>
      <c r="B31" s="6" t="n"/>
      <c r="C31" s="4" t="n"/>
      <c r="D31" s="8" t="n"/>
      <c r="E31" s="4" t="n"/>
      <c r="F31" s="8" t="n"/>
      <c r="G31" s="4" t="n"/>
      <c r="H31" s="8" t="n"/>
      <c r="I31" s="4" t="n"/>
      <c r="J31" s="10" t="n"/>
    </row>
    <row r="32">
      <c r="A32" s="4" t="n"/>
      <c r="B32" s="6" t="n"/>
      <c r="C32" s="4" t="n"/>
      <c r="D32" s="8" t="n"/>
      <c r="E32" s="4" t="n"/>
      <c r="F32" s="8" t="n"/>
      <c r="G32" s="4" t="n"/>
      <c r="H32" s="8" t="n"/>
      <c r="I32" s="4" t="n"/>
      <c r="J32" s="10" t="n"/>
    </row>
    <row r="33">
      <c r="A33" s="4" t="n"/>
      <c r="B33" s="6" t="n"/>
      <c r="C33" s="4" t="n"/>
      <c r="D33" s="8" t="n"/>
      <c r="E33" s="4" t="n"/>
      <c r="F33" s="8" t="n"/>
      <c r="G33" s="4" t="n"/>
      <c r="H33" s="8" t="n"/>
      <c r="I33" s="4" t="n"/>
      <c r="J33" s="10" t="n"/>
    </row>
    <row r="34">
      <c r="A34" s="5" t="n"/>
      <c r="B34" s="7" t="n"/>
      <c r="C34" s="5" t="n"/>
      <c r="D34" s="9" t="n"/>
      <c r="E34" s="5" t="n"/>
      <c r="F34" s="9" t="n"/>
      <c r="G34" s="5" t="n"/>
      <c r="H34" s="9" t="n"/>
      <c r="I34" s="5" t="n"/>
      <c r="J34" s="11" t="n"/>
    </row>
    <row r="36">
      <c r="A36" s="12" t="inlineStr">
        <is>
          <t>ALEMÃO</t>
        </is>
      </c>
      <c r="B36" s="12" t="inlineStr">
        <is>
          <t>EMOCIONAL</t>
        </is>
      </c>
      <c r="C36" s="12" t="inlineStr">
        <is>
          <t>ESPANHOL</t>
        </is>
      </c>
      <c r="D36" s="12" t="inlineStr">
        <is>
          <t>FRANCÊS</t>
        </is>
      </c>
      <c r="E36" s="12" t="inlineStr">
        <is>
          <t>IDIOMAS</t>
        </is>
      </c>
      <c r="F36" s="12" t="inlineStr">
        <is>
          <t>INDONESIAN</t>
        </is>
      </c>
      <c r="G36" s="12" t="inlineStr">
        <is>
          <t>ITALIANO</t>
        </is>
      </c>
      <c r="H36" s="12" t="inlineStr">
        <is>
          <t>JAPONÊS</t>
        </is>
      </c>
      <c r="I36" s="12" t="inlineStr">
        <is>
          <t>KOREAN</t>
        </is>
      </c>
      <c r="J36" s="12" t="inlineStr">
        <is>
          <t>LIBRAS</t>
        </is>
      </c>
    </row>
    <row r="37">
      <c r="A37" s="12">
        <f>COUNTIFS(A23:I34, "ALEMÃO", B23:J34, "NOT DONE")</f>
        <v/>
      </c>
      <c r="B37" s="12">
        <f>COUNTIFS(A23:I34, "EMOCIONAL", B23:J34, "NOT DONE")</f>
        <v/>
      </c>
      <c r="C37" s="12">
        <f>COUNTIFS(A23:I34, "ESPANHOL", B23:J34, "NOT DONE")</f>
        <v/>
      </c>
      <c r="D37" s="12">
        <f>COUNTIFS(A23:I34, "FRANCÊS", B23:J34, "NOT DONE")</f>
        <v/>
      </c>
      <c r="E37" s="12">
        <f>COUNTIFS(A23:I34, "IDIOMAS", B23:J34, "NOT DONE")</f>
        <v/>
      </c>
      <c r="F37" s="12">
        <f>COUNTIFS(A23:I34, "INDONESIAN", B23:J34, "NOT DONE")</f>
        <v/>
      </c>
      <c r="G37" s="12">
        <f>COUNTIFS(A23:I34, "ITALIANO", B23:J34, "NOT DONE")</f>
        <v/>
      </c>
      <c r="H37" s="12">
        <f>COUNTIFS(A23:I34, "JAPONÊS", B23:J34, "NOT DONE")</f>
        <v/>
      </c>
      <c r="I37" s="12">
        <f>COUNTIFS(A23:I34, "KOREAN", B23:J34, "NOT DONE")</f>
        <v/>
      </c>
      <c r="J37" s="12">
        <f>COUNTIFS(A23:I34, "LIBRAS", B23:J34, "NOT DONE")</f>
        <v/>
      </c>
    </row>
    <row r="39">
      <c r="A39" s="15" t="inlineStr">
        <is>
          <t>TIMETABLE</t>
        </is>
      </c>
      <c r="K39" s="2" t="n"/>
    </row>
    <row r="40">
      <c r="A40" s="18" t="inlineStr">
        <is>
          <t>WEEK 3</t>
        </is>
      </c>
    </row>
    <row r="41">
      <c r="A41" s="16" t="inlineStr">
        <is>
          <t>MONDAY</t>
        </is>
      </c>
      <c r="B41" s="22" t="n"/>
      <c r="C41" s="16" t="inlineStr">
        <is>
          <t>TUESDAY</t>
        </is>
      </c>
      <c r="D41" s="22" t="n"/>
      <c r="E41" s="16" t="inlineStr">
        <is>
          <t>WEDNESDAY</t>
        </is>
      </c>
      <c r="F41" s="22" t="n"/>
      <c r="G41" s="16" t="inlineStr">
        <is>
          <t>THURSDAY</t>
        </is>
      </c>
      <c r="H41" s="22" t="n"/>
      <c r="I41" s="23" t="inlineStr">
        <is>
          <t>FRIDAY</t>
        </is>
      </c>
      <c r="J41" s="24" t="n"/>
      <c r="K41" s="1" t="n"/>
      <c r="L41" s="1" t="inlineStr">
        <is>
          <t>DONE</t>
        </is>
      </c>
      <c r="M41" s="1" t="inlineStr">
        <is>
          <t>NOT DONE</t>
        </is>
      </c>
    </row>
    <row r="42">
      <c r="A42" s="4" t="n"/>
      <c r="B42" s="6" t="n"/>
      <c r="C42" s="4" t="n"/>
      <c r="D42" s="8" t="n"/>
      <c r="E42" s="4" t="n"/>
      <c r="F42" s="8" t="n"/>
      <c r="G42" s="4" t="n"/>
      <c r="H42" s="8" t="n"/>
      <c r="I42" s="4" t="n"/>
      <c r="J42" s="10" t="n"/>
      <c r="L42" s="1" t="n"/>
      <c r="M42" s="1" t="n"/>
    </row>
    <row r="43">
      <c r="A43" s="4" t="n"/>
      <c r="B43" s="6" t="n"/>
      <c r="C43" s="4" t="n"/>
      <c r="D43" s="8" t="n"/>
      <c r="E43" s="4" t="n"/>
      <c r="F43" s="8" t="n"/>
      <c r="G43" s="4" t="n"/>
      <c r="H43" s="8" t="n"/>
      <c r="I43" s="4" t="n"/>
      <c r="J43" s="10" t="n"/>
      <c r="L43" s="1">
        <f>COUNTIF(B42:J53, "DONE")</f>
        <v/>
      </c>
      <c r="M43" s="1">
        <f>COUNTIF(B42:J53, "NOT DONE")</f>
        <v/>
      </c>
      <c r="N43">
        <f>COUNTIF(B42:J53, "DONE") / (COUNTIF(B42:J53, "DONE") + COUNTIF(B42:J53, "NOT DONE"))</f>
        <v/>
      </c>
    </row>
    <row r="44">
      <c r="A44" s="4" t="n"/>
      <c r="B44" s="6" t="n"/>
      <c r="C44" s="4" t="n"/>
      <c r="D44" s="8" t="n"/>
      <c r="E44" s="4" t="n"/>
      <c r="F44" s="8" t="n"/>
      <c r="G44" s="4" t="n"/>
      <c r="H44" s="8" t="n"/>
      <c r="I44" s="4" t="n"/>
      <c r="J44" s="10" t="n"/>
    </row>
    <row r="45">
      <c r="A45" s="4" t="n"/>
      <c r="B45" s="6" t="n"/>
      <c r="C45" s="4" t="n"/>
      <c r="D45" s="8" t="n"/>
      <c r="E45" s="4" t="n"/>
      <c r="F45" s="8" t="n"/>
      <c r="G45" s="4" t="n"/>
      <c r="H45" s="8" t="n"/>
      <c r="I45" s="4" t="n"/>
      <c r="J45" s="10" t="n"/>
    </row>
    <row r="46">
      <c r="A46" s="4" t="n"/>
      <c r="B46" s="6" t="n"/>
      <c r="C46" s="4" t="n"/>
      <c r="D46" s="8" t="n"/>
      <c r="E46" s="4" t="n"/>
      <c r="F46" s="8" t="n"/>
      <c r="G46" s="4" t="n"/>
      <c r="H46" s="8" t="n"/>
      <c r="I46" s="4" t="n"/>
      <c r="J46" s="10" t="n"/>
    </row>
    <row r="47">
      <c r="A47" s="4" t="n"/>
      <c r="B47" s="6" t="n"/>
      <c r="C47" s="4" t="n"/>
      <c r="D47" s="8" t="n"/>
      <c r="E47" s="4" t="n"/>
      <c r="F47" s="8" t="n"/>
      <c r="G47" s="4" t="n"/>
      <c r="H47" s="8" t="n"/>
      <c r="I47" s="4" t="n"/>
      <c r="J47" s="10" t="n"/>
    </row>
    <row r="48">
      <c r="A48" s="4" t="n"/>
      <c r="B48" s="6" t="n"/>
      <c r="C48" s="4" t="n"/>
      <c r="D48" s="8" t="n"/>
      <c r="E48" s="4" t="n"/>
      <c r="F48" s="8" t="n"/>
      <c r="G48" s="4" t="n"/>
      <c r="H48" s="8" t="n"/>
      <c r="I48" s="4" t="n"/>
      <c r="J48" s="10" t="n"/>
    </row>
    <row r="49">
      <c r="A49" s="4" t="n"/>
      <c r="B49" s="6" t="n"/>
      <c r="C49" s="4" t="n"/>
      <c r="D49" s="8" t="n"/>
      <c r="E49" s="4" t="n"/>
      <c r="F49" s="8" t="n"/>
      <c r="G49" s="4" t="n"/>
      <c r="H49" s="8" t="n"/>
      <c r="I49" s="4" t="n"/>
      <c r="J49" s="10" t="n"/>
    </row>
    <row r="50">
      <c r="A50" s="4" t="n"/>
      <c r="B50" s="6" t="n"/>
      <c r="C50" s="4" t="n"/>
      <c r="D50" s="8" t="n"/>
      <c r="E50" s="4" t="n"/>
      <c r="F50" s="8" t="n"/>
      <c r="G50" s="4" t="n"/>
      <c r="H50" s="8" t="n"/>
      <c r="I50" s="4" t="n"/>
      <c r="J50" s="10" t="n"/>
    </row>
    <row r="51">
      <c r="A51" s="4" t="n"/>
      <c r="B51" s="6" t="n"/>
      <c r="C51" s="4" t="n"/>
      <c r="D51" s="8" t="n"/>
      <c r="E51" s="4" t="n"/>
      <c r="F51" s="8" t="n"/>
      <c r="G51" s="4" t="n"/>
      <c r="H51" s="8" t="n"/>
      <c r="I51" s="4" t="n"/>
      <c r="J51" s="10" t="n"/>
    </row>
    <row r="52">
      <c r="A52" s="4" t="n"/>
      <c r="B52" s="6" t="n"/>
      <c r="C52" s="4" t="n"/>
      <c r="D52" s="8" t="n"/>
      <c r="E52" s="4" t="n"/>
      <c r="F52" s="8" t="n"/>
      <c r="G52" s="4" t="n"/>
      <c r="H52" s="8" t="n"/>
      <c r="I52" s="4" t="n"/>
      <c r="J52" s="10" t="n"/>
    </row>
    <row r="53">
      <c r="A53" s="5" t="n"/>
      <c r="B53" s="7" t="n"/>
      <c r="C53" s="5" t="n"/>
      <c r="D53" s="9" t="n"/>
      <c r="E53" s="5" t="n"/>
      <c r="F53" s="9" t="n"/>
      <c r="G53" s="5" t="n"/>
      <c r="H53" s="9" t="n"/>
      <c r="I53" s="5" t="n"/>
      <c r="J53" s="11" t="n"/>
    </row>
    <row r="55">
      <c r="A55" s="12" t="inlineStr">
        <is>
          <t>ALEMÃO</t>
        </is>
      </c>
      <c r="B55" s="12" t="inlineStr">
        <is>
          <t>EMOCIONAL</t>
        </is>
      </c>
      <c r="C55" s="12" t="inlineStr">
        <is>
          <t>ESPANHOL</t>
        </is>
      </c>
      <c r="D55" s="12" t="inlineStr">
        <is>
          <t>FRANCÊS</t>
        </is>
      </c>
      <c r="E55" s="12" t="inlineStr">
        <is>
          <t>IDIOMAS</t>
        </is>
      </c>
      <c r="F55" s="12" t="inlineStr">
        <is>
          <t>INDONESIAN</t>
        </is>
      </c>
      <c r="G55" s="12" t="inlineStr">
        <is>
          <t>ITALIANO</t>
        </is>
      </c>
      <c r="H55" s="12" t="inlineStr">
        <is>
          <t>JAPONÊS</t>
        </is>
      </c>
      <c r="I55" s="12" t="inlineStr">
        <is>
          <t>KOREAN</t>
        </is>
      </c>
      <c r="J55" s="12" t="inlineStr">
        <is>
          <t>LIBRAS</t>
        </is>
      </c>
    </row>
    <row r="56">
      <c r="A56" s="12">
        <f>COUNTIFS(A42:I53, "ALEMÃO", B42:J53, "NOT DONE")</f>
        <v/>
      </c>
      <c r="B56" s="12">
        <f>COUNTIFS(A42:I53, "EMOCIONAL", B42:J53, "NOT DONE")</f>
        <v/>
      </c>
      <c r="C56" s="12">
        <f>COUNTIFS(A42:I53, "ESPANHOL", B42:J53, "NOT DONE")</f>
        <v/>
      </c>
      <c r="D56" s="12">
        <f>COUNTIFS(A42:I53, "FRANCÊS", B42:J53, "NOT DONE")</f>
        <v/>
      </c>
      <c r="E56" s="12">
        <f>COUNTIFS(A42:I53, "IDIOMAS", B42:J53, "NOT DONE")</f>
        <v/>
      </c>
      <c r="F56" s="12">
        <f>COUNTIFS(A42:I53, "INDONESIAN", B42:J53, "NOT DONE")</f>
        <v/>
      </c>
      <c r="G56" s="12">
        <f>COUNTIFS(A42:I53, "ITALIANO", B42:J53, "NOT DONE")</f>
        <v/>
      </c>
      <c r="H56" s="12">
        <f>COUNTIFS(A42:I53, "JAPONÊS", B42:J53, "NOT DONE")</f>
        <v/>
      </c>
      <c r="I56" s="12">
        <f>COUNTIFS(A42:I53, "KOREAN", B42:J53, "NOT DONE")</f>
        <v/>
      </c>
      <c r="J56" s="12">
        <f>COUNTIFS(A42:I53, "LIBRAS", B42:J53, "NOT DONE")</f>
        <v/>
      </c>
    </row>
    <row r="58">
      <c r="A58" s="15" t="inlineStr">
        <is>
          <t>TIMETABLE</t>
        </is>
      </c>
      <c r="K58" s="2" t="n"/>
    </row>
    <row r="59">
      <c r="A59" s="18" t="inlineStr">
        <is>
          <t>WEEK 4</t>
        </is>
      </c>
    </row>
    <row r="60">
      <c r="A60" s="16" t="inlineStr">
        <is>
          <t>MONDAY</t>
        </is>
      </c>
      <c r="B60" s="22" t="n"/>
      <c r="C60" s="16" t="inlineStr">
        <is>
          <t>TUESDAY</t>
        </is>
      </c>
      <c r="D60" s="22" t="n"/>
      <c r="E60" s="16" t="inlineStr">
        <is>
          <t>WEDNESDAY</t>
        </is>
      </c>
      <c r="F60" s="22" t="n"/>
      <c r="G60" s="16" t="inlineStr">
        <is>
          <t>THURSDAY</t>
        </is>
      </c>
      <c r="H60" s="22" t="n"/>
      <c r="I60" s="23" t="inlineStr">
        <is>
          <t>FRIDAY</t>
        </is>
      </c>
      <c r="J60" s="24" t="n"/>
      <c r="K60" s="1" t="n"/>
      <c r="L60" s="1" t="inlineStr">
        <is>
          <t>DONE</t>
        </is>
      </c>
      <c r="M60" s="1" t="inlineStr">
        <is>
          <t>NOT DONE</t>
        </is>
      </c>
    </row>
    <row r="61">
      <c r="A61" s="4" t="n"/>
      <c r="B61" s="6" t="n"/>
      <c r="C61" s="4" t="n"/>
      <c r="D61" s="8" t="n"/>
      <c r="E61" s="4" t="n"/>
      <c r="F61" s="8" t="n"/>
      <c r="G61" s="4" t="n"/>
      <c r="H61" s="8" t="n"/>
      <c r="I61" s="4" t="n"/>
      <c r="J61" s="10" t="n"/>
      <c r="L61" s="1" t="n"/>
      <c r="M61" s="1" t="n"/>
    </row>
    <row r="62">
      <c r="A62" s="4" t="n"/>
      <c r="B62" s="6" t="n"/>
      <c r="C62" s="4" t="n"/>
      <c r="D62" s="8" t="n"/>
      <c r="E62" s="4" t="n"/>
      <c r="F62" s="8" t="n"/>
      <c r="G62" s="4" t="n"/>
      <c r="H62" s="8" t="n"/>
      <c r="I62" s="4" t="n"/>
      <c r="J62" s="10" t="n"/>
      <c r="L62" s="1">
        <f>COUNTIF(B61:J72, "DONE")</f>
        <v/>
      </c>
      <c r="M62" s="1">
        <f>COUNTIF(B61:J72, "NOT DONE")</f>
        <v/>
      </c>
      <c r="N62">
        <f>COUNTIF(B61:J72, "DONE") / (COUNTIF(B61:J72, "DONE") + COUNTIF(B61:J72, "NOT DONE"))</f>
        <v/>
      </c>
    </row>
    <row r="63">
      <c r="A63" s="4" t="n"/>
      <c r="B63" s="6" t="n"/>
      <c r="C63" s="4" t="n"/>
      <c r="D63" s="8" t="n"/>
      <c r="E63" s="4" t="n"/>
      <c r="F63" s="8" t="n"/>
      <c r="G63" s="4" t="n"/>
      <c r="H63" s="8" t="n"/>
      <c r="I63" s="4" t="n"/>
      <c r="J63" s="10" t="n"/>
    </row>
    <row r="64">
      <c r="A64" s="4" t="n"/>
      <c r="B64" s="6" t="n"/>
      <c r="C64" s="4" t="n"/>
      <c r="D64" s="8" t="n"/>
      <c r="E64" s="4" t="n"/>
      <c r="F64" s="8" t="n"/>
      <c r="G64" s="4" t="n"/>
      <c r="H64" s="8" t="n"/>
      <c r="I64" s="4" t="n"/>
      <c r="J64" s="10" t="n"/>
    </row>
    <row r="65">
      <c r="A65" s="4" t="n"/>
      <c r="B65" s="6" t="n"/>
      <c r="C65" s="4" t="n"/>
      <c r="D65" s="8" t="n"/>
      <c r="E65" s="4" t="n"/>
      <c r="F65" s="8" t="n"/>
      <c r="G65" s="4" t="n"/>
      <c r="H65" s="8" t="n"/>
      <c r="I65" s="4" t="n"/>
      <c r="J65" s="10" t="n"/>
    </row>
    <row r="66">
      <c r="A66" s="4" t="n"/>
      <c r="B66" s="6" t="n"/>
      <c r="C66" s="4" t="n"/>
      <c r="D66" s="8" t="n"/>
      <c r="E66" s="4" t="n"/>
      <c r="F66" s="8" t="n"/>
      <c r="G66" s="4" t="n"/>
      <c r="H66" s="8" t="n"/>
      <c r="I66" s="4" t="n"/>
      <c r="J66" s="10" t="n"/>
    </row>
    <row r="67">
      <c r="A67" s="4" t="n"/>
      <c r="B67" s="6" t="n"/>
      <c r="C67" s="4" t="n"/>
      <c r="D67" s="8" t="n"/>
      <c r="E67" s="4" t="n"/>
      <c r="F67" s="8" t="n"/>
      <c r="G67" s="4" t="n"/>
      <c r="H67" s="8" t="n"/>
      <c r="I67" s="4" t="n"/>
      <c r="J67" s="10" t="n"/>
    </row>
    <row r="68">
      <c r="A68" s="4" t="n"/>
      <c r="B68" s="6" t="n"/>
      <c r="C68" s="4" t="n"/>
      <c r="D68" s="8" t="n"/>
      <c r="E68" s="4" t="n"/>
      <c r="F68" s="8" t="n"/>
      <c r="G68" s="4" t="n"/>
      <c r="H68" s="8" t="n"/>
      <c r="I68" s="4" t="n"/>
      <c r="J68" s="10" t="n"/>
    </row>
    <row r="69">
      <c r="A69" s="4" t="n"/>
      <c r="B69" s="6" t="n"/>
      <c r="C69" s="4" t="n"/>
      <c r="D69" s="8" t="n"/>
      <c r="E69" s="4" t="n"/>
      <c r="F69" s="8" t="n"/>
      <c r="G69" s="4" t="n"/>
      <c r="H69" s="8" t="n"/>
      <c r="I69" s="4" t="n"/>
      <c r="J69" s="10" t="n"/>
    </row>
    <row r="70">
      <c r="A70" s="4" t="n"/>
      <c r="B70" s="6" t="n"/>
      <c r="C70" s="4" t="n"/>
      <c r="D70" s="8" t="n"/>
      <c r="E70" s="4" t="n"/>
      <c r="F70" s="8" t="n"/>
      <c r="G70" s="4" t="n"/>
      <c r="H70" s="8" t="n"/>
      <c r="I70" s="4" t="n"/>
      <c r="J70" s="10" t="n"/>
    </row>
    <row r="71">
      <c r="A71" s="4" t="n"/>
      <c r="B71" s="6" t="n"/>
      <c r="C71" s="4" t="n"/>
      <c r="D71" s="8" t="n"/>
      <c r="E71" s="4" t="n"/>
      <c r="F71" s="8" t="n"/>
      <c r="G71" s="4" t="n"/>
      <c r="H71" s="8" t="n"/>
      <c r="I71" s="4" t="n"/>
      <c r="J71" s="10" t="n"/>
    </row>
    <row r="72">
      <c r="A72" s="5" t="n"/>
      <c r="B72" s="7" t="n"/>
      <c r="C72" s="5" t="n"/>
      <c r="D72" s="9" t="n"/>
      <c r="E72" s="5" t="n"/>
      <c r="F72" s="9" t="n"/>
      <c r="G72" s="5" t="n"/>
      <c r="H72" s="9" t="n"/>
      <c r="I72" s="5" t="n"/>
      <c r="J72" s="11" t="n"/>
    </row>
    <row r="74">
      <c r="A74" s="12" t="inlineStr">
        <is>
          <t>ALEMÃO</t>
        </is>
      </c>
      <c r="B74" s="12" t="inlineStr">
        <is>
          <t>EMOCIONAL</t>
        </is>
      </c>
      <c r="C74" s="12" t="inlineStr">
        <is>
          <t>ESPANHOL</t>
        </is>
      </c>
      <c r="D74" s="12" t="inlineStr">
        <is>
          <t>FRANCÊS</t>
        </is>
      </c>
      <c r="E74" s="12" t="inlineStr">
        <is>
          <t>IDIOMAS</t>
        </is>
      </c>
      <c r="F74" s="12" t="inlineStr">
        <is>
          <t>INDONESIAN</t>
        </is>
      </c>
      <c r="G74" s="12" t="inlineStr">
        <is>
          <t>ITALIANO</t>
        </is>
      </c>
      <c r="H74" s="12" t="inlineStr">
        <is>
          <t>JAPONÊS</t>
        </is>
      </c>
      <c r="I74" s="12" t="inlineStr">
        <is>
          <t>KOREAN</t>
        </is>
      </c>
      <c r="J74" s="12" t="inlineStr">
        <is>
          <t>LIBRAS</t>
        </is>
      </c>
    </row>
    <row r="75">
      <c r="A75" s="12">
        <f>COUNTIFS(A61:I72, "ALEMÃO", B61:J72, "NOT DONE")</f>
        <v/>
      </c>
      <c r="B75" s="12">
        <f>COUNTIFS(A61:I72, "EMOCIONAL", B61:J72, "NOT DONE")</f>
        <v/>
      </c>
      <c r="C75" s="12">
        <f>COUNTIFS(A61:I72, "ESPANHOL", B61:J72, "NOT DONE")</f>
        <v/>
      </c>
      <c r="D75" s="12">
        <f>COUNTIFS(A61:I72, "FRANCÊS", B61:J72, "NOT DONE")</f>
        <v/>
      </c>
      <c r="E75" s="12">
        <f>COUNTIFS(A61:I72, "IDIOMAS", B61:J72, "NOT DONE")</f>
        <v/>
      </c>
      <c r="F75" s="12">
        <f>COUNTIFS(A61:I72, "INDONESIAN", B61:J72, "NOT DONE")</f>
        <v/>
      </c>
      <c r="G75" s="12">
        <f>COUNTIFS(A61:I72, "ITALIANO", B61:J72, "NOT DONE")</f>
        <v/>
      </c>
      <c r="H75" s="12">
        <f>COUNTIFS(A61:I72, "JAPONÊS", B61:J72, "NOT DONE")</f>
        <v/>
      </c>
      <c r="I75" s="12">
        <f>COUNTIFS(A61:I72, "KOREAN", B61:J72, "NOT DONE")</f>
        <v/>
      </c>
      <c r="J75" s="12">
        <f>COUNTIFS(A61:I72, "LIBRAS", B61:J72, "NOT DONE")</f>
        <v/>
      </c>
    </row>
  </sheetData>
  <mergeCells count="28">
    <mergeCell ref="A60:B60"/>
    <mergeCell ref="A20:J20"/>
    <mergeCell ref="A58:J58"/>
    <mergeCell ref="A40:J40"/>
    <mergeCell ref="A41:B41"/>
    <mergeCell ref="C41:D41"/>
    <mergeCell ref="I41:J41"/>
    <mergeCell ref="A39:J39"/>
    <mergeCell ref="A59:J59"/>
    <mergeCell ref="C22:D22"/>
    <mergeCell ref="I22:J22"/>
    <mergeCell ref="E60:F60"/>
    <mergeCell ref="A3:B3"/>
    <mergeCell ref="G3:H3"/>
    <mergeCell ref="I3:J3"/>
    <mergeCell ref="A1:J1"/>
    <mergeCell ref="C60:D60"/>
    <mergeCell ref="I60:J60"/>
    <mergeCell ref="A22:B22"/>
    <mergeCell ref="A2:J2"/>
    <mergeCell ref="E41:F41"/>
    <mergeCell ref="G41:H41"/>
    <mergeCell ref="A21:J21"/>
    <mergeCell ref="E22:F22"/>
    <mergeCell ref="G22:H22"/>
    <mergeCell ref="C3:D3"/>
    <mergeCell ref="G60:H60"/>
    <mergeCell ref="E3:F3"/>
  </mergeCells>
  <conditionalFormatting sqref="B4:B15 D4:D15 F4:F15 H4:H15 J4:J15">
    <cfRule type="containsText" priority="8" operator="containsText" dxfId="1" text="DONE">
      <formula>NOT(ISERROR(SEARCH("DONE",B4)))</formula>
    </cfRule>
    <cfRule type="containsText" priority="7" operator="containsText" dxfId="0" text="NOT DONE">
      <formula>NOT(ISERROR(SEARCH("NOT DONE",B4)))</formula>
    </cfRule>
  </conditionalFormatting>
  <conditionalFormatting sqref="B23:B34 D23:D34 F23:F34 H23:H34 J23:J34">
    <cfRule type="containsText" priority="6" operator="containsText" dxfId="1" text="DONE">
      <formula>NOT(ISERROR(SEARCH("DONE",B23)))</formula>
    </cfRule>
    <cfRule type="containsText" priority="5" operator="containsText" dxfId="0" text="NOT DONE">
      <formula>NOT(ISERROR(SEARCH("NOT DONE",B23)))</formula>
    </cfRule>
  </conditionalFormatting>
  <conditionalFormatting sqref="B42:B53 D42:D53 F42:F53 H42:H53 J42:J53">
    <cfRule type="containsText" priority="4" operator="containsText" dxfId="1" text="DONE">
      <formula>NOT(ISERROR(SEARCH("DONE",B42)))</formula>
    </cfRule>
    <cfRule type="containsText" priority="3" operator="containsText" dxfId="0" text="NOT DONE">
      <formula>NOT(ISERROR(SEARCH("NOT DONE",B42)))</formula>
    </cfRule>
  </conditionalFormatting>
  <conditionalFormatting sqref="B61:B72 D61:D72 F61:F72 H61:H72 J61:J72">
    <cfRule type="containsText" priority="2" operator="containsText" dxfId="1" text="DONE">
      <formula>NOT(ISERROR(SEARCH("DONE",B61)))</formula>
    </cfRule>
    <cfRule type="containsText" priority="1" operator="containsText" dxfId="0" text="NOT DONE">
      <formula>NOT(ISERROR(SEARCH("NOT DONE",B61)))</formula>
    </cfRule>
  </conditionalFormatting>
  <dataValidations count="1">
    <dataValidation sqref="B4:B15 B23:B34 B42:B53 B61:B72 D4:D15 D23:D34 D42:D53 D61:D72 F4:F15 F23:F34 F42:F53 F61:F72 H4:H15 H23:H34 H42:H53 H61:H72 J4:J15 J23:J34 J42:J53 J61:J72" showDropDown="0" showInputMessage="1" showErrorMessage="1" allowBlank="1" type="list">
      <formula1>$S$1:$S$2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75"/>
  <sheetViews>
    <sheetView topLeftCell="A21" workbookViewId="0">
      <selection activeCell="A1" sqref="A1"/>
    </sheetView>
  </sheetViews>
  <sheetFormatPr baseColWidth="8" defaultRowHeight="15"/>
  <cols>
    <col width="11" customWidth="1" style="3" min="1" max="1"/>
    <col width="12.85546875" customWidth="1" style="3" min="2" max="2"/>
    <col width="11.7109375" customWidth="1" style="3" min="3" max="3"/>
    <col width="10.5703125" customWidth="1" style="3" min="4" max="4"/>
    <col width="10.7109375" customWidth="1" style="3" min="5" max="5"/>
    <col width="12.42578125" customWidth="1" style="3" min="6" max="6"/>
    <col width="11" customWidth="1" style="3" min="7" max="7"/>
    <col width="10.28515625" customWidth="1" style="3" min="8" max="9"/>
    <col width="10.5703125" customWidth="1" style="3" min="10" max="10"/>
  </cols>
  <sheetData>
    <row r="1">
      <c r="A1" s="15" t="inlineStr">
        <is>
          <t>TIMETABLE</t>
        </is>
      </c>
      <c r="K1" s="2" t="n"/>
      <c r="S1" t="inlineStr">
        <is>
          <t>DONE</t>
        </is>
      </c>
    </row>
    <row r="2">
      <c r="A2" s="18" t="inlineStr">
        <is>
          <t>WEEK 1</t>
        </is>
      </c>
      <c r="S2" t="inlineStr">
        <is>
          <t>NOT DONE</t>
        </is>
      </c>
    </row>
    <row r="3">
      <c r="A3" s="16" t="inlineStr">
        <is>
          <t>MONDAY</t>
        </is>
      </c>
      <c r="B3" s="22" t="n"/>
      <c r="C3" s="16" t="inlineStr">
        <is>
          <t>TUESDAY</t>
        </is>
      </c>
      <c r="D3" s="22" t="n"/>
      <c r="E3" s="16" t="inlineStr">
        <is>
          <t>WEDNESDAY</t>
        </is>
      </c>
      <c r="F3" s="22" t="n"/>
      <c r="G3" s="16" t="inlineStr">
        <is>
          <t>THURSDAY</t>
        </is>
      </c>
      <c r="H3" s="22" t="n"/>
      <c r="I3" s="23" t="inlineStr">
        <is>
          <t>FRIDAY</t>
        </is>
      </c>
      <c r="J3" s="24" t="n"/>
      <c r="K3" s="1" t="n"/>
      <c r="L3" s="1" t="inlineStr">
        <is>
          <t>DONE</t>
        </is>
      </c>
      <c r="M3" s="1" t="inlineStr">
        <is>
          <t>NOT DONE</t>
        </is>
      </c>
    </row>
    <row r="4">
      <c r="A4" s="4" t="n"/>
      <c r="B4" s="6" t="n"/>
      <c r="C4" s="4" t="n"/>
      <c r="D4" s="8" t="n"/>
      <c r="E4" s="4" t="n"/>
      <c r="F4" s="8" t="n"/>
      <c r="G4" s="4" t="n"/>
      <c r="H4" s="8" t="n"/>
      <c r="I4" s="4" t="n"/>
      <c r="J4" s="10" t="n"/>
      <c r="L4" s="1" t="n"/>
      <c r="M4" s="1" t="n"/>
    </row>
    <row r="5">
      <c r="A5" s="4" t="n"/>
      <c r="B5" s="6" t="n"/>
      <c r="C5" s="4" t="n"/>
      <c r="D5" s="8" t="n"/>
      <c r="E5" s="4" t="n"/>
      <c r="F5" s="8" t="n"/>
      <c r="G5" s="4" t="n"/>
      <c r="H5" s="8" t="n"/>
      <c r="I5" s="4" t="n"/>
      <c r="J5" s="10" t="n"/>
      <c r="L5" s="1">
        <f>COUNTIF(B4:J15, "DONE")</f>
        <v/>
      </c>
      <c r="M5" s="1">
        <f>COUNTIF(B4:J15, "NOT DONE")</f>
        <v/>
      </c>
      <c r="N5">
        <f>COUNTIF(B4:J15, "DONE") / (COUNTIF(B4:J15, "DONE") + COUNTIF(B4:J15, "NOT DONE"))</f>
        <v/>
      </c>
    </row>
    <row r="6">
      <c r="A6" s="4" t="n"/>
      <c r="B6" s="6" t="n"/>
      <c r="C6" s="4" t="n"/>
      <c r="D6" s="8" t="n"/>
      <c r="E6" s="4" t="n"/>
      <c r="F6" s="8" t="n"/>
      <c r="G6" s="4" t="n"/>
      <c r="H6" s="8" t="n"/>
      <c r="I6" s="4" t="n"/>
      <c r="J6" s="10" t="n"/>
    </row>
    <row r="7">
      <c r="A7" s="4" t="n"/>
      <c r="B7" s="6" t="n"/>
      <c r="C7" s="4" t="n"/>
      <c r="D7" s="8" t="n"/>
      <c r="E7" s="4" t="n"/>
      <c r="F7" s="8" t="n"/>
      <c r="G7" s="4" t="n"/>
      <c r="H7" s="8" t="n"/>
      <c r="I7" s="4" t="n"/>
      <c r="J7" s="10" t="n"/>
    </row>
    <row r="8">
      <c r="A8" s="4" t="n"/>
      <c r="B8" s="6" t="n"/>
      <c r="C8" s="4" t="n"/>
      <c r="D8" s="8" t="n"/>
      <c r="E8" s="4" t="n"/>
      <c r="F8" s="8" t="n"/>
      <c r="G8" s="4" t="n"/>
      <c r="H8" s="8" t="n"/>
      <c r="I8" s="4" t="n"/>
      <c r="J8" s="10" t="n"/>
    </row>
    <row r="9">
      <c r="A9" s="4" t="n"/>
      <c r="B9" s="6" t="n"/>
      <c r="C9" s="4" t="n"/>
      <c r="D9" s="8" t="n"/>
      <c r="E9" s="4" t="n"/>
      <c r="F9" s="8" t="n"/>
      <c r="G9" s="4" t="n"/>
      <c r="H9" s="8" t="n"/>
      <c r="I9" s="4" t="n"/>
      <c r="J9" s="10" t="n"/>
    </row>
    <row r="10">
      <c r="A10" s="4" t="n"/>
      <c r="B10" s="6" t="n"/>
      <c r="C10" s="4" t="n"/>
      <c r="D10" s="8" t="n"/>
      <c r="E10" s="4" t="n"/>
      <c r="F10" s="8" t="n"/>
      <c r="G10" s="4" t="n"/>
      <c r="H10" s="8" t="n"/>
      <c r="I10" s="4" t="n"/>
      <c r="J10" s="10" t="n"/>
    </row>
    <row r="11">
      <c r="A11" s="4" t="n"/>
      <c r="B11" s="6" t="n"/>
      <c r="C11" s="4" t="n"/>
      <c r="D11" s="8" t="n"/>
      <c r="E11" s="4" t="n"/>
      <c r="F11" s="8" t="n"/>
      <c r="G11" s="4" t="n"/>
      <c r="H11" s="8" t="n"/>
      <c r="I11" s="4" t="n"/>
      <c r="J11" s="10" t="n"/>
    </row>
    <row r="12">
      <c r="A12" s="4" t="n"/>
      <c r="B12" s="6" t="n"/>
      <c r="C12" s="4" t="n"/>
      <c r="D12" s="8" t="n"/>
      <c r="E12" s="4" t="n"/>
      <c r="F12" s="8" t="n"/>
      <c r="G12" s="4" t="n"/>
      <c r="H12" s="8" t="n"/>
      <c r="I12" s="4" t="n"/>
      <c r="J12" s="10" t="n"/>
    </row>
    <row r="13">
      <c r="A13" s="4" t="n"/>
      <c r="B13" s="6" t="n"/>
      <c r="C13" s="4" t="n"/>
      <c r="D13" s="8" t="n"/>
      <c r="E13" s="4" t="n"/>
      <c r="F13" s="8" t="n"/>
      <c r="G13" s="4" t="n"/>
      <c r="H13" s="8" t="n"/>
      <c r="I13" s="4" t="n"/>
      <c r="J13" s="10" t="n"/>
    </row>
    <row r="14">
      <c r="A14" s="4" t="n"/>
      <c r="B14" s="6" t="n"/>
      <c r="C14" s="4" t="n"/>
      <c r="D14" s="8" t="n"/>
      <c r="E14" s="4" t="n"/>
      <c r="F14" s="8" t="n"/>
      <c r="G14" s="4" t="n"/>
      <c r="H14" s="8" t="n"/>
      <c r="I14" s="4" t="n"/>
      <c r="J14" s="10" t="n"/>
    </row>
    <row r="15">
      <c r="A15" s="5" t="n"/>
      <c r="B15" s="7" t="n"/>
      <c r="C15" s="5" t="n"/>
      <c r="D15" s="9" t="n"/>
      <c r="E15" s="5" t="n"/>
      <c r="F15" s="9" t="n"/>
      <c r="G15" s="5" t="n"/>
      <c r="H15" s="9" t="n"/>
      <c r="I15" s="5" t="n"/>
      <c r="J15" s="11" t="n"/>
    </row>
    <row r="17">
      <c r="A17" s="12" t="inlineStr">
        <is>
          <t>ALEMÃO</t>
        </is>
      </c>
      <c r="B17" s="12" t="inlineStr">
        <is>
          <t>EMOCIONAL</t>
        </is>
      </c>
      <c r="C17" s="12" t="inlineStr">
        <is>
          <t>ESPANHOL</t>
        </is>
      </c>
      <c r="D17" s="12" t="inlineStr">
        <is>
          <t>FRANCÊS</t>
        </is>
      </c>
      <c r="E17" s="12" t="inlineStr">
        <is>
          <t>IDIOMAS</t>
        </is>
      </c>
      <c r="F17" s="12" t="inlineStr">
        <is>
          <t>INDONESIAN</t>
        </is>
      </c>
      <c r="G17" s="12" t="inlineStr">
        <is>
          <t>ITALIANO</t>
        </is>
      </c>
      <c r="H17" s="12" t="inlineStr">
        <is>
          <t>JAPONÊS</t>
        </is>
      </c>
      <c r="I17" s="12" t="inlineStr">
        <is>
          <t>KOREAN</t>
        </is>
      </c>
      <c r="J17" s="12" t="inlineStr">
        <is>
          <t>LIBRAS</t>
        </is>
      </c>
    </row>
    <row r="18">
      <c r="A18" s="12">
        <f>COUNTIFS(A4:I15, "ALEMÃO", B4:J15, "NOT DONE")</f>
        <v/>
      </c>
      <c r="B18" s="12">
        <f>COUNTIFS(A4:I15, "EMOCIONAL", B4:J15, "NOT DONE")</f>
        <v/>
      </c>
      <c r="C18" s="12">
        <f>COUNTIFS(A4:I15, "ESPANHOL", B4:J15, "NOT DONE")</f>
        <v/>
      </c>
      <c r="D18" s="12">
        <f>COUNTIFS(A4:I15, "FRANCÊS", B4:J15, "NOT DONE")</f>
        <v/>
      </c>
      <c r="E18" s="12">
        <f>COUNTIFS(A4:I15, "IDIOMAS", B4:J15, "NOT DONE")</f>
        <v/>
      </c>
      <c r="F18" s="12">
        <f>COUNTIFS(A4:I15, "INDONESIAN", B4:J15, "NOT DONE")</f>
        <v/>
      </c>
      <c r="G18" s="12">
        <f>COUNTIFS(A4:I15, "ITALIANO", B4:J15, "NOT DONE")</f>
        <v/>
      </c>
      <c r="H18" s="12">
        <f>COUNTIFS(A4:I15, "JAPONÊS", B4:J15, "NOT DONE")</f>
        <v/>
      </c>
      <c r="I18" s="12">
        <f>COUNTIFS(A4:I15, "KOREAN", B4:J15, "NOT DONE")</f>
        <v/>
      </c>
      <c r="J18" s="12">
        <f>COUNTIFS(A4:I15, "LIBRAS", B4:J15, "NOT DONE")</f>
        <v/>
      </c>
    </row>
    <row r="20">
      <c r="A20" s="15" t="inlineStr">
        <is>
          <t>TIMETABLE</t>
        </is>
      </c>
      <c r="K20" s="2" t="n"/>
    </row>
    <row r="21">
      <c r="A21" s="18" t="inlineStr">
        <is>
          <t>WEEK 2</t>
        </is>
      </c>
    </row>
    <row r="22">
      <c r="A22" s="16" t="inlineStr">
        <is>
          <t>MONDAY</t>
        </is>
      </c>
      <c r="B22" s="22" t="n"/>
      <c r="C22" s="16" t="inlineStr">
        <is>
          <t>TUESDAY</t>
        </is>
      </c>
      <c r="D22" s="22" t="n"/>
      <c r="E22" s="16" t="inlineStr">
        <is>
          <t>WEDNESDAY</t>
        </is>
      </c>
      <c r="F22" s="22" t="n"/>
      <c r="G22" s="16" t="inlineStr">
        <is>
          <t>THURSDAY</t>
        </is>
      </c>
      <c r="H22" s="22" t="n"/>
      <c r="I22" s="23" t="inlineStr">
        <is>
          <t>FRIDAY</t>
        </is>
      </c>
      <c r="J22" s="24" t="n"/>
      <c r="K22" s="1" t="n"/>
      <c r="L22" s="1" t="inlineStr">
        <is>
          <t>DONE</t>
        </is>
      </c>
      <c r="M22" s="1" t="inlineStr">
        <is>
          <t>NOT DONE</t>
        </is>
      </c>
    </row>
    <row r="23">
      <c r="A23" s="4" t="n"/>
      <c r="B23" s="6" t="n"/>
      <c r="C23" s="4" t="n"/>
      <c r="D23" s="8" t="n"/>
      <c r="E23" s="4" t="n"/>
      <c r="F23" s="8" t="n"/>
      <c r="G23" s="4" t="n"/>
      <c r="H23" s="8" t="n"/>
      <c r="I23" s="4" t="n"/>
      <c r="J23" s="10" t="n"/>
      <c r="L23" s="1" t="n"/>
      <c r="M23" s="1" t="n"/>
    </row>
    <row r="24">
      <c r="A24" s="4" t="n"/>
      <c r="B24" s="6" t="n"/>
      <c r="C24" s="4" t="n"/>
      <c r="D24" s="8" t="n"/>
      <c r="E24" s="4" t="n"/>
      <c r="F24" s="8" t="n"/>
      <c r="G24" s="4" t="n"/>
      <c r="H24" s="8" t="n"/>
      <c r="I24" s="4" t="n"/>
      <c r="J24" s="10" t="n"/>
      <c r="L24" s="1">
        <f>COUNTIF(B23:J34, "DONE")</f>
        <v/>
      </c>
      <c r="M24" s="1">
        <f>COUNTIF(B23:J34, "NOT DONE")</f>
        <v/>
      </c>
      <c r="N24">
        <f>COUNTIF(B23:J34, "DONE") / (COUNTIF(B23:J34, "DONE") + COUNTIF(B23:J34, "NOT DONE"))</f>
        <v/>
      </c>
    </row>
    <row r="25">
      <c r="A25" s="4" t="n"/>
      <c r="B25" s="6" t="n"/>
      <c r="C25" s="4" t="n"/>
      <c r="D25" s="8" t="n"/>
      <c r="E25" s="4" t="n"/>
      <c r="F25" s="8" t="n"/>
      <c r="G25" s="4" t="n"/>
      <c r="H25" s="8" t="n"/>
      <c r="I25" s="4" t="n"/>
      <c r="J25" s="10" t="n"/>
    </row>
    <row r="26">
      <c r="A26" s="4" t="n"/>
      <c r="B26" s="6" t="n"/>
      <c r="C26" s="4" t="n"/>
      <c r="D26" s="8" t="n"/>
      <c r="E26" s="4" t="n"/>
      <c r="F26" s="8" t="n"/>
      <c r="G26" s="4" t="n"/>
      <c r="H26" s="8" t="n"/>
      <c r="I26" s="4" t="n"/>
      <c r="J26" s="10" t="n"/>
    </row>
    <row r="27">
      <c r="A27" s="4" t="n"/>
      <c r="B27" s="6" t="n"/>
      <c r="C27" s="4" t="n"/>
      <c r="D27" s="8" t="n"/>
      <c r="E27" s="4" t="n"/>
      <c r="F27" s="8" t="n"/>
      <c r="G27" s="4" t="n"/>
      <c r="H27" s="8" t="n"/>
      <c r="I27" s="4" t="n"/>
      <c r="J27" s="10" t="n"/>
    </row>
    <row r="28">
      <c r="A28" s="4" t="n"/>
      <c r="B28" s="6" t="n"/>
      <c r="C28" s="4" t="n"/>
      <c r="D28" s="8" t="n"/>
      <c r="E28" s="4" t="n"/>
      <c r="F28" s="8" t="n"/>
      <c r="G28" s="4" t="n"/>
      <c r="H28" s="8" t="n"/>
      <c r="I28" s="4" t="n"/>
      <c r="J28" s="10" t="n"/>
    </row>
    <row r="29">
      <c r="A29" s="4" t="n"/>
      <c r="B29" s="6" t="n"/>
      <c r="C29" s="4" t="n"/>
      <c r="D29" s="8" t="n"/>
      <c r="E29" s="4" t="n"/>
      <c r="F29" s="8" t="n"/>
      <c r="G29" s="4" t="n"/>
      <c r="H29" s="8" t="n"/>
      <c r="I29" s="4" t="n"/>
      <c r="J29" s="10" t="n"/>
    </row>
    <row r="30">
      <c r="A30" s="4" t="n"/>
      <c r="B30" s="6" t="n"/>
      <c r="C30" s="4" t="n"/>
      <c r="D30" s="8" t="n"/>
      <c r="E30" s="4" t="n"/>
      <c r="F30" s="8" t="n"/>
      <c r="G30" s="4" t="n"/>
      <c r="H30" s="8" t="n"/>
      <c r="I30" s="4" t="n"/>
      <c r="J30" s="10" t="n"/>
    </row>
    <row r="31">
      <c r="A31" s="4" t="n"/>
      <c r="B31" s="6" t="n"/>
      <c r="C31" s="4" t="n"/>
      <c r="D31" s="8" t="n"/>
      <c r="E31" s="4" t="n"/>
      <c r="F31" s="8" t="n"/>
      <c r="G31" s="4" t="n"/>
      <c r="H31" s="8" t="n"/>
      <c r="I31" s="4" t="n"/>
      <c r="J31" s="10" t="n"/>
    </row>
    <row r="32">
      <c r="A32" s="4" t="n"/>
      <c r="B32" s="6" t="n"/>
      <c r="C32" s="4" t="n"/>
      <c r="D32" s="8" t="n"/>
      <c r="E32" s="4" t="n"/>
      <c r="F32" s="8" t="n"/>
      <c r="G32" s="4" t="n"/>
      <c r="H32" s="8" t="n"/>
      <c r="I32" s="4" t="n"/>
      <c r="J32" s="10" t="n"/>
    </row>
    <row r="33">
      <c r="A33" s="4" t="n"/>
      <c r="B33" s="6" t="n"/>
      <c r="C33" s="4" t="n"/>
      <c r="D33" s="8" t="n"/>
      <c r="E33" s="4" t="n"/>
      <c r="F33" s="8" t="n"/>
      <c r="G33" s="4" t="n"/>
      <c r="H33" s="8" t="n"/>
      <c r="I33" s="4" t="n"/>
      <c r="J33" s="10" t="n"/>
    </row>
    <row r="34">
      <c r="A34" s="5" t="n"/>
      <c r="B34" s="7" t="n"/>
      <c r="C34" s="5" t="n"/>
      <c r="D34" s="9" t="n"/>
      <c r="E34" s="5" t="n"/>
      <c r="F34" s="9" t="n"/>
      <c r="G34" s="5" t="n"/>
      <c r="H34" s="9" t="n"/>
      <c r="I34" s="5" t="n"/>
      <c r="J34" s="11" t="n"/>
    </row>
    <row r="36">
      <c r="A36" s="12" t="inlineStr">
        <is>
          <t>ALEMÃO</t>
        </is>
      </c>
      <c r="B36" s="12" t="inlineStr">
        <is>
          <t>EMOCIONAL</t>
        </is>
      </c>
      <c r="C36" s="12" t="inlineStr">
        <is>
          <t>ESPANHOL</t>
        </is>
      </c>
      <c r="D36" s="12" t="inlineStr">
        <is>
          <t>FRANCÊS</t>
        </is>
      </c>
      <c r="E36" s="12" t="inlineStr">
        <is>
          <t>IDIOMAS</t>
        </is>
      </c>
      <c r="F36" s="12" t="inlineStr">
        <is>
          <t>INDONESIAN</t>
        </is>
      </c>
      <c r="G36" s="12" t="inlineStr">
        <is>
          <t>ITALIANO</t>
        </is>
      </c>
      <c r="H36" s="12" t="inlineStr">
        <is>
          <t>JAPONÊS</t>
        </is>
      </c>
      <c r="I36" s="12" t="inlineStr">
        <is>
          <t>KOREAN</t>
        </is>
      </c>
      <c r="J36" s="12" t="inlineStr">
        <is>
          <t>LIBRAS</t>
        </is>
      </c>
    </row>
    <row r="37">
      <c r="A37" s="12">
        <f>COUNTIFS(A23:I34, "ALEMÃO", B23:J34, "NOT DONE")</f>
        <v/>
      </c>
      <c r="B37" s="12">
        <f>COUNTIFS(A23:I34, "EMOCIONAL", B23:J34, "NOT DONE")</f>
        <v/>
      </c>
      <c r="C37" s="12">
        <f>COUNTIFS(A23:I34, "ESPANHOL", B23:J34, "NOT DONE")</f>
        <v/>
      </c>
      <c r="D37" s="12">
        <f>COUNTIFS(A23:I34, "FRANCÊS", B23:J34, "NOT DONE")</f>
        <v/>
      </c>
      <c r="E37" s="12">
        <f>COUNTIFS(A23:I34, "IDIOMAS", B23:J34, "NOT DONE")</f>
        <v/>
      </c>
      <c r="F37" s="12">
        <f>COUNTIFS(A23:I34, "INDONESIAN", B23:J34, "NOT DONE")</f>
        <v/>
      </c>
      <c r="G37" s="12">
        <f>COUNTIFS(A23:I34, "ITALIANO", B23:J34, "NOT DONE")</f>
        <v/>
      </c>
      <c r="H37" s="12">
        <f>COUNTIFS(A23:I34, "JAPONÊS", B23:J34, "NOT DONE")</f>
        <v/>
      </c>
      <c r="I37" s="12">
        <f>COUNTIFS(A23:I34, "KOREAN", B23:J34, "NOT DONE")</f>
        <v/>
      </c>
      <c r="J37" s="12">
        <f>COUNTIFS(A23:I34, "LIBRAS", B23:J34, "NOT DONE")</f>
        <v/>
      </c>
    </row>
    <row r="39">
      <c r="A39" s="15" t="inlineStr">
        <is>
          <t>TIMETABLE</t>
        </is>
      </c>
      <c r="K39" s="2" t="n"/>
    </row>
    <row r="40">
      <c r="A40" s="18" t="inlineStr">
        <is>
          <t>WEEK 3</t>
        </is>
      </c>
    </row>
    <row r="41">
      <c r="A41" s="16" t="inlineStr">
        <is>
          <t>MONDAY</t>
        </is>
      </c>
      <c r="B41" s="22" t="n"/>
      <c r="C41" s="16" t="inlineStr">
        <is>
          <t>TUESDAY</t>
        </is>
      </c>
      <c r="D41" s="22" t="n"/>
      <c r="E41" s="16" t="inlineStr">
        <is>
          <t>WEDNESDAY</t>
        </is>
      </c>
      <c r="F41" s="22" t="n"/>
      <c r="G41" s="16" t="inlineStr">
        <is>
          <t>THURSDAY</t>
        </is>
      </c>
      <c r="H41" s="22" t="n"/>
      <c r="I41" s="23" t="inlineStr">
        <is>
          <t>FRIDAY</t>
        </is>
      </c>
      <c r="J41" s="24" t="n"/>
      <c r="K41" s="1" t="n"/>
      <c r="L41" s="1" t="inlineStr">
        <is>
          <t>DONE</t>
        </is>
      </c>
      <c r="M41" s="1" t="inlineStr">
        <is>
          <t>NOT DONE</t>
        </is>
      </c>
    </row>
    <row r="42">
      <c r="A42" s="4" t="n"/>
      <c r="B42" s="6" t="n"/>
      <c r="C42" s="4" t="n"/>
      <c r="D42" s="8" t="n"/>
      <c r="E42" s="4" t="n"/>
      <c r="F42" s="8" t="n"/>
      <c r="G42" s="4" t="n"/>
      <c r="H42" s="8" t="n"/>
      <c r="I42" s="4" t="n"/>
      <c r="J42" s="10" t="n"/>
      <c r="L42" s="1" t="n"/>
      <c r="M42" s="1" t="n"/>
    </row>
    <row r="43">
      <c r="A43" s="4" t="n"/>
      <c r="B43" s="6" t="n"/>
      <c r="C43" s="4" t="n"/>
      <c r="D43" s="8" t="n"/>
      <c r="E43" s="4" t="n"/>
      <c r="F43" s="8" t="n"/>
      <c r="G43" s="4" t="n"/>
      <c r="H43" s="8" t="n"/>
      <c r="I43" s="4" t="n"/>
      <c r="J43" s="10" t="n"/>
      <c r="L43" s="1">
        <f>COUNTIF(B42:J53, "DONE")</f>
        <v/>
      </c>
      <c r="M43" s="1">
        <f>COUNTIF(B42:J53, "NOT DONE")</f>
        <v/>
      </c>
      <c r="N43">
        <f>COUNTIF(B42:J53, "DONE") / (COUNTIF(B42:J53, "DONE") + COUNTIF(B42:J53, "NOT DONE"))</f>
        <v/>
      </c>
    </row>
    <row r="44">
      <c r="A44" s="4" t="n"/>
      <c r="B44" s="6" t="n"/>
      <c r="C44" s="4" t="n"/>
      <c r="D44" s="8" t="n"/>
      <c r="E44" s="4" t="n"/>
      <c r="F44" s="8" t="n"/>
      <c r="G44" s="4" t="n"/>
      <c r="H44" s="8" t="n"/>
      <c r="I44" s="4" t="n"/>
      <c r="J44" s="10" t="n"/>
    </row>
    <row r="45">
      <c r="A45" s="4" t="n"/>
      <c r="B45" s="6" t="n"/>
      <c r="C45" s="4" t="n"/>
      <c r="D45" s="8" t="n"/>
      <c r="E45" s="4" t="n"/>
      <c r="F45" s="8" t="n"/>
      <c r="G45" s="4" t="n"/>
      <c r="H45" s="8" t="n"/>
      <c r="I45" s="4" t="n"/>
      <c r="J45" s="10" t="n"/>
    </row>
    <row r="46">
      <c r="A46" s="4" t="n"/>
      <c r="B46" s="6" t="n"/>
      <c r="C46" s="4" t="n"/>
      <c r="D46" s="8" t="n"/>
      <c r="E46" s="4" t="n"/>
      <c r="F46" s="8" t="n"/>
      <c r="G46" s="4" t="n"/>
      <c r="H46" s="8" t="n"/>
      <c r="I46" s="4" t="n"/>
      <c r="J46" s="10" t="n"/>
    </row>
    <row r="47">
      <c r="A47" s="4" t="n"/>
      <c r="B47" s="6" t="n"/>
      <c r="C47" s="4" t="n"/>
      <c r="D47" s="8" t="n"/>
      <c r="E47" s="4" t="n"/>
      <c r="F47" s="8" t="n"/>
      <c r="G47" s="4" t="n"/>
      <c r="H47" s="8" t="n"/>
      <c r="I47" s="4" t="n"/>
      <c r="J47" s="10" t="n"/>
    </row>
    <row r="48">
      <c r="A48" s="4" t="n"/>
      <c r="B48" s="6" t="n"/>
      <c r="C48" s="4" t="n"/>
      <c r="D48" s="8" t="n"/>
      <c r="E48" s="4" t="n"/>
      <c r="F48" s="8" t="n"/>
      <c r="G48" s="4" t="n"/>
      <c r="H48" s="8" t="n"/>
      <c r="I48" s="4" t="n"/>
      <c r="J48" s="10" t="n"/>
    </row>
    <row r="49">
      <c r="A49" s="4" t="n"/>
      <c r="B49" s="6" t="n"/>
      <c r="C49" s="4" t="n"/>
      <c r="D49" s="8" t="n"/>
      <c r="E49" s="4" t="n"/>
      <c r="F49" s="8" t="n"/>
      <c r="G49" s="4" t="n"/>
      <c r="H49" s="8" t="n"/>
      <c r="I49" s="4" t="n"/>
      <c r="J49" s="10" t="n"/>
    </row>
    <row r="50">
      <c r="A50" s="4" t="n"/>
      <c r="B50" s="6" t="n"/>
      <c r="C50" s="4" t="n"/>
      <c r="D50" s="8" t="n"/>
      <c r="E50" s="4" t="n"/>
      <c r="F50" s="8" t="n"/>
      <c r="G50" s="4" t="n"/>
      <c r="H50" s="8" t="n"/>
      <c r="I50" s="4" t="n"/>
      <c r="J50" s="10" t="n"/>
    </row>
    <row r="51">
      <c r="A51" s="4" t="n"/>
      <c r="B51" s="6" t="n"/>
      <c r="C51" s="4" t="n"/>
      <c r="D51" s="8" t="n"/>
      <c r="E51" s="4" t="n"/>
      <c r="F51" s="8" t="n"/>
      <c r="G51" s="4" t="n"/>
      <c r="H51" s="8" t="n"/>
      <c r="I51" s="4" t="n"/>
      <c r="J51" s="10" t="n"/>
    </row>
    <row r="52">
      <c r="A52" s="4" t="n"/>
      <c r="B52" s="6" t="n"/>
      <c r="C52" s="4" t="n"/>
      <c r="D52" s="8" t="n"/>
      <c r="E52" s="4" t="n"/>
      <c r="F52" s="8" t="n"/>
      <c r="G52" s="4" t="n"/>
      <c r="H52" s="8" t="n"/>
      <c r="I52" s="4" t="n"/>
      <c r="J52" s="10" t="n"/>
    </row>
    <row r="53">
      <c r="A53" s="5" t="n"/>
      <c r="B53" s="7" t="n"/>
      <c r="C53" s="5" t="n"/>
      <c r="D53" s="9" t="n"/>
      <c r="E53" s="5" t="n"/>
      <c r="F53" s="9" t="n"/>
      <c r="G53" s="5" t="n"/>
      <c r="H53" s="9" t="n"/>
      <c r="I53" s="5" t="n"/>
      <c r="J53" s="11" t="n"/>
    </row>
    <row r="55">
      <c r="A55" s="12" t="inlineStr">
        <is>
          <t>ALEMÃO</t>
        </is>
      </c>
      <c r="B55" s="12" t="inlineStr">
        <is>
          <t>EMOCIONAL</t>
        </is>
      </c>
      <c r="C55" s="12" t="inlineStr">
        <is>
          <t>ESPANHOL</t>
        </is>
      </c>
      <c r="D55" s="12" t="inlineStr">
        <is>
          <t>FRANCÊS</t>
        </is>
      </c>
      <c r="E55" s="12" t="inlineStr">
        <is>
          <t>IDIOMAS</t>
        </is>
      </c>
      <c r="F55" s="12" t="inlineStr">
        <is>
          <t>INDONESIAN</t>
        </is>
      </c>
      <c r="G55" s="12" t="inlineStr">
        <is>
          <t>ITALIANO</t>
        </is>
      </c>
      <c r="H55" s="12" t="inlineStr">
        <is>
          <t>JAPONÊS</t>
        </is>
      </c>
      <c r="I55" s="12" t="inlineStr">
        <is>
          <t>KOREAN</t>
        </is>
      </c>
      <c r="J55" s="12" t="inlineStr">
        <is>
          <t>LIBRAS</t>
        </is>
      </c>
    </row>
    <row r="56">
      <c r="A56" s="12">
        <f>COUNTIFS(A42:I53, "ALEMÃO", B42:J53, "NOT DONE")</f>
        <v/>
      </c>
      <c r="B56" s="12">
        <f>COUNTIFS(A42:I53, "EMOCIONAL", B42:J53, "NOT DONE")</f>
        <v/>
      </c>
      <c r="C56" s="12">
        <f>COUNTIFS(A42:I53, "ESPANHOL", B42:J53, "NOT DONE")</f>
        <v/>
      </c>
      <c r="D56" s="12">
        <f>COUNTIFS(A42:I53, "FRANCÊS", B42:J53, "NOT DONE")</f>
        <v/>
      </c>
      <c r="E56" s="12">
        <f>COUNTIFS(A42:I53, "IDIOMAS", B42:J53, "NOT DONE")</f>
        <v/>
      </c>
      <c r="F56" s="12">
        <f>COUNTIFS(A42:I53, "INDONESIAN", B42:J53, "NOT DONE")</f>
        <v/>
      </c>
      <c r="G56" s="12">
        <f>COUNTIFS(A42:I53, "ITALIANO", B42:J53, "NOT DONE")</f>
        <v/>
      </c>
      <c r="H56" s="12">
        <f>COUNTIFS(A42:I53, "JAPONÊS", B42:J53, "NOT DONE")</f>
        <v/>
      </c>
      <c r="I56" s="12">
        <f>COUNTIFS(A42:I53, "KOREAN", B42:J53, "NOT DONE")</f>
        <v/>
      </c>
      <c r="J56" s="12">
        <f>COUNTIFS(A42:I53, "LIBRAS", B42:J53, "NOT DONE")</f>
        <v/>
      </c>
    </row>
    <row r="58">
      <c r="A58" s="15" t="inlineStr">
        <is>
          <t>TIMETABLE</t>
        </is>
      </c>
      <c r="K58" s="2" t="n"/>
    </row>
    <row r="59">
      <c r="A59" s="18" t="inlineStr">
        <is>
          <t>WEEK 4</t>
        </is>
      </c>
    </row>
    <row r="60">
      <c r="A60" s="16" t="inlineStr">
        <is>
          <t>MONDAY</t>
        </is>
      </c>
      <c r="B60" s="22" t="n"/>
      <c r="C60" s="16" t="inlineStr">
        <is>
          <t>TUESDAY</t>
        </is>
      </c>
      <c r="D60" s="22" t="n"/>
      <c r="E60" s="16" t="inlineStr">
        <is>
          <t>WEDNESDAY</t>
        </is>
      </c>
      <c r="F60" s="22" t="n"/>
      <c r="G60" s="16" t="inlineStr">
        <is>
          <t>THURSDAY</t>
        </is>
      </c>
      <c r="H60" s="22" t="n"/>
      <c r="I60" s="23" t="inlineStr">
        <is>
          <t>FRIDAY</t>
        </is>
      </c>
      <c r="J60" s="24" t="n"/>
      <c r="K60" s="1" t="n"/>
      <c r="L60" s="1" t="inlineStr">
        <is>
          <t>DONE</t>
        </is>
      </c>
      <c r="M60" s="1" t="inlineStr">
        <is>
          <t>NOT DONE</t>
        </is>
      </c>
    </row>
    <row r="61">
      <c r="A61" s="4" t="n"/>
      <c r="B61" s="6" t="n"/>
      <c r="C61" s="4" t="n"/>
      <c r="D61" s="8" t="n"/>
      <c r="E61" s="4" t="n"/>
      <c r="F61" s="8" t="n"/>
      <c r="G61" s="4" t="n"/>
      <c r="H61" s="8" t="n"/>
      <c r="I61" s="4" t="n"/>
      <c r="J61" s="10" t="n"/>
      <c r="L61" s="1" t="n"/>
      <c r="M61" s="1" t="n"/>
    </row>
    <row r="62">
      <c r="A62" s="4" t="n"/>
      <c r="B62" s="6" t="n"/>
      <c r="C62" s="4" t="n"/>
      <c r="D62" s="8" t="n"/>
      <c r="E62" s="4" t="n"/>
      <c r="F62" s="8" t="n"/>
      <c r="G62" s="4" t="n"/>
      <c r="H62" s="8" t="n"/>
      <c r="I62" s="4" t="n"/>
      <c r="J62" s="10" t="n"/>
      <c r="L62" s="1">
        <f>COUNTIF(B61:J72, "DONE")</f>
        <v/>
      </c>
      <c r="M62" s="1">
        <f>COUNTIF(B61:J72, "NOT DONE")</f>
        <v/>
      </c>
      <c r="N62">
        <f>COUNTIF(B61:J72, "DONE") / (COUNTIF(B61:J72, "DONE") + COUNTIF(B61:J72, "NOT DONE"))</f>
        <v/>
      </c>
    </row>
    <row r="63">
      <c r="A63" s="4" t="n"/>
      <c r="B63" s="6" t="n"/>
      <c r="C63" s="4" t="n"/>
      <c r="D63" s="8" t="n"/>
      <c r="E63" s="4" t="n"/>
      <c r="F63" s="8" t="n"/>
      <c r="G63" s="4" t="n"/>
      <c r="H63" s="8" t="n"/>
      <c r="I63" s="4" t="n"/>
      <c r="J63" s="10" t="n"/>
    </row>
    <row r="64">
      <c r="A64" s="4" t="n"/>
      <c r="B64" s="6" t="n"/>
      <c r="C64" s="4" t="n"/>
      <c r="D64" s="8" t="n"/>
      <c r="E64" s="4" t="n"/>
      <c r="F64" s="8" t="n"/>
      <c r="G64" s="4" t="n"/>
      <c r="H64" s="8" t="n"/>
      <c r="I64" s="4" t="n"/>
      <c r="J64" s="10" t="n"/>
    </row>
    <row r="65">
      <c r="A65" s="4" t="n"/>
      <c r="B65" s="6" t="n"/>
      <c r="C65" s="4" t="n"/>
      <c r="D65" s="8" t="n"/>
      <c r="E65" s="4" t="n"/>
      <c r="F65" s="8" t="n"/>
      <c r="G65" s="4" t="n"/>
      <c r="H65" s="8" t="n"/>
      <c r="I65" s="4" t="n"/>
      <c r="J65" s="10" t="n"/>
    </row>
    <row r="66">
      <c r="A66" s="4" t="n"/>
      <c r="B66" s="6" t="n"/>
      <c r="C66" s="4" t="n"/>
      <c r="D66" s="8" t="n"/>
      <c r="E66" s="4" t="n"/>
      <c r="F66" s="8" t="n"/>
      <c r="G66" s="4" t="n"/>
      <c r="H66" s="8" t="n"/>
      <c r="I66" s="4" t="n"/>
      <c r="J66" s="10" t="n"/>
    </row>
    <row r="67">
      <c r="A67" s="4" t="n"/>
      <c r="B67" s="6" t="n"/>
      <c r="C67" s="4" t="n"/>
      <c r="D67" s="8" t="n"/>
      <c r="E67" s="4" t="n"/>
      <c r="F67" s="8" t="n"/>
      <c r="G67" s="4" t="n"/>
      <c r="H67" s="8" t="n"/>
      <c r="I67" s="4" t="n"/>
      <c r="J67" s="10" t="n"/>
    </row>
    <row r="68">
      <c r="A68" s="4" t="n"/>
      <c r="B68" s="6" t="n"/>
      <c r="C68" s="4" t="n"/>
      <c r="D68" s="8" t="n"/>
      <c r="E68" s="4" t="n"/>
      <c r="F68" s="8" t="n"/>
      <c r="G68" s="4" t="n"/>
      <c r="H68" s="8" t="n"/>
      <c r="I68" s="4" t="n"/>
      <c r="J68" s="10" t="n"/>
    </row>
    <row r="69">
      <c r="A69" s="4" t="n"/>
      <c r="B69" s="6" t="n"/>
      <c r="C69" s="4" t="n"/>
      <c r="D69" s="8" t="n"/>
      <c r="E69" s="4" t="n"/>
      <c r="F69" s="8" t="n"/>
      <c r="G69" s="4" t="n"/>
      <c r="H69" s="8" t="n"/>
      <c r="I69" s="4" t="n"/>
      <c r="J69" s="10" t="n"/>
    </row>
    <row r="70">
      <c r="A70" s="4" t="n"/>
      <c r="B70" s="6" t="n"/>
      <c r="C70" s="4" t="n"/>
      <c r="D70" s="8" t="n"/>
      <c r="E70" s="4" t="n"/>
      <c r="F70" s="8" t="n"/>
      <c r="G70" s="4" t="n"/>
      <c r="H70" s="8" t="n"/>
      <c r="I70" s="4" t="n"/>
      <c r="J70" s="10" t="n"/>
    </row>
    <row r="71">
      <c r="A71" s="4" t="n"/>
      <c r="B71" s="6" t="n"/>
      <c r="C71" s="4" t="n"/>
      <c r="D71" s="8" t="n"/>
      <c r="E71" s="4" t="n"/>
      <c r="F71" s="8" t="n"/>
      <c r="G71" s="4" t="n"/>
      <c r="H71" s="8" t="n"/>
      <c r="I71" s="4" t="n"/>
      <c r="J71" s="10" t="n"/>
    </row>
    <row r="72">
      <c r="A72" s="5" t="n"/>
      <c r="B72" s="7" t="n"/>
      <c r="C72" s="5" t="n"/>
      <c r="D72" s="9" t="n"/>
      <c r="E72" s="5" t="n"/>
      <c r="F72" s="9" t="n"/>
      <c r="G72" s="5" t="n"/>
      <c r="H72" s="9" t="n"/>
      <c r="I72" s="5" t="n"/>
      <c r="J72" s="11" t="n"/>
    </row>
    <row r="74">
      <c r="A74" s="12" t="inlineStr">
        <is>
          <t>ALEMÃO</t>
        </is>
      </c>
      <c r="B74" s="12" t="inlineStr">
        <is>
          <t>EMOCIONAL</t>
        </is>
      </c>
      <c r="C74" s="12" t="inlineStr">
        <is>
          <t>ESPANHOL</t>
        </is>
      </c>
      <c r="D74" s="12" t="inlineStr">
        <is>
          <t>FRANCÊS</t>
        </is>
      </c>
      <c r="E74" s="12" t="inlineStr">
        <is>
          <t>IDIOMAS</t>
        </is>
      </c>
      <c r="F74" s="12" t="inlineStr">
        <is>
          <t>INDONESIAN</t>
        </is>
      </c>
      <c r="G74" s="12" t="inlineStr">
        <is>
          <t>ITALIANO</t>
        </is>
      </c>
      <c r="H74" s="12" t="inlineStr">
        <is>
          <t>JAPONÊS</t>
        </is>
      </c>
      <c r="I74" s="12" t="inlineStr">
        <is>
          <t>KOREAN</t>
        </is>
      </c>
      <c r="J74" s="12" t="inlineStr">
        <is>
          <t>LIBRAS</t>
        </is>
      </c>
    </row>
    <row r="75">
      <c r="A75" s="12">
        <f>COUNTIFS(A61:I72, "ALEMÃO", B61:J72, "NOT DONE")</f>
        <v/>
      </c>
      <c r="B75" s="12">
        <f>COUNTIFS(A61:I72, "EMOCIONAL", B61:J72, "NOT DONE")</f>
        <v/>
      </c>
      <c r="C75" s="12">
        <f>COUNTIFS(A61:I72, "ESPANHOL", B61:J72, "NOT DONE")</f>
        <v/>
      </c>
      <c r="D75" s="12">
        <f>COUNTIFS(A61:I72, "FRANCÊS", B61:J72, "NOT DONE")</f>
        <v/>
      </c>
      <c r="E75" s="12">
        <f>COUNTIFS(A61:I72, "IDIOMAS", B61:J72, "NOT DONE")</f>
        <v/>
      </c>
      <c r="F75" s="12">
        <f>COUNTIFS(A61:I72, "INDONESIAN", B61:J72, "NOT DONE")</f>
        <v/>
      </c>
      <c r="G75" s="12">
        <f>COUNTIFS(A61:I72, "ITALIANO", B61:J72, "NOT DONE")</f>
        <v/>
      </c>
      <c r="H75" s="12">
        <f>COUNTIFS(A61:I72, "JAPONÊS", B61:J72, "NOT DONE")</f>
        <v/>
      </c>
      <c r="I75" s="12">
        <f>COUNTIFS(A61:I72, "KOREAN", B61:J72, "NOT DONE")</f>
        <v/>
      </c>
      <c r="J75" s="12">
        <f>COUNTIFS(A61:I72, "LIBRAS", B61:J72, "NOT DONE")</f>
        <v/>
      </c>
    </row>
  </sheetData>
  <mergeCells count="28">
    <mergeCell ref="A60:B60"/>
    <mergeCell ref="A20:J20"/>
    <mergeCell ref="A58:J58"/>
    <mergeCell ref="A40:J40"/>
    <mergeCell ref="A41:B41"/>
    <mergeCell ref="C41:D41"/>
    <mergeCell ref="I41:J41"/>
    <mergeCell ref="A39:J39"/>
    <mergeCell ref="A59:J59"/>
    <mergeCell ref="C22:D22"/>
    <mergeCell ref="I22:J22"/>
    <mergeCell ref="E60:F60"/>
    <mergeCell ref="A3:B3"/>
    <mergeCell ref="G3:H3"/>
    <mergeCell ref="I3:J3"/>
    <mergeCell ref="A1:J1"/>
    <mergeCell ref="C60:D60"/>
    <mergeCell ref="I60:J60"/>
    <mergeCell ref="A22:B22"/>
    <mergeCell ref="A2:J2"/>
    <mergeCell ref="E41:F41"/>
    <mergeCell ref="G41:H41"/>
    <mergeCell ref="A21:J21"/>
    <mergeCell ref="E22:F22"/>
    <mergeCell ref="G22:H22"/>
    <mergeCell ref="C3:D3"/>
    <mergeCell ref="G60:H60"/>
    <mergeCell ref="E3:F3"/>
  </mergeCells>
  <conditionalFormatting sqref="B4:B15 D4:D15 F4:F15 H4:H15 J4:J15">
    <cfRule type="containsText" priority="8" operator="containsText" dxfId="1" text="DONE">
      <formula>NOT(ISERROR(SEARCH("DONE",B4)))</formula>
    </cfRule>
    <cfRule type="containsText" priority="7" operator="containsText" dxfId="0" text="NOT DONE">
      <formula>NOT(ISERROR(SEARCH("NOT DONE",B4)))</formula>
    </cfRule>
  </conditionalFormatting>
  <conditionalFormatting sqref="B23:B34 D23:D34 F23:F34 H23:H34 J23:J34">
    <cfRule type="containsText" priority="6" operator="containsText" dxfId="1" text="DONE">
      <formula>NOT(ISERROR(SEARCH("DONE",B23)))</formula>
    </cfRule>
    <cfRule type="containsText" priority="5" operator="containsText" dxfId="0" text="NOT DONE">
      <formula>NOT(ISERROR(SEARCH("NOT DONE",B23)))</formula>
    </cfRule>
  </conditionalFormatting>
  <conditionalFormatting sqref="B42:B53 D42:D53 F42:F53 H42:H53 J42:J53">
    <cfRule type="containsText" priority="4" operator="containsText" dxfId="1" text="DONE">
      <formula>NOT(ISERROR(SEARCH("DONE",B42)))</formula>
    </cfRule>
    <cfRule type="containsText" priority="3" operator="containsText" dxfId="0" text="NOT DONE">
      <formula>NOT(ISERROR(SEARCH("NOT DONE",B42)))</formula>
    </cfRule>
  </conditionalFormatting>
  <conditionalFormatting sqref="B61:B72 D61:D72 F61:F72 H61:H72 J61:J72">
    <cfRule type="containsText" priority="2" operator="containsText" dxfId="1" text="DONE">
      <formula>NOT(ISERROR(SEARCH("DONE",B61)))</formula>
    </cfRule>
    <cfRule type="containsText" priority="1" operator="containsText" dxfId="0" text="NOT DONE">
      <formula>NOT(ISERROR(SEARCH("NOT DONE",B61)))</formula>
    </cfRule>
  </conditionalFormatting>
  <dataValidations count="1">
    <dataValidation sqref="B4:B15 B23:B34 B42:B53 B61:B72 D4:D15 D23:D34 D42:D53 D61:D72 F4:F15 F23:F34 F42:F53 F61:F72 H4:H15 H23:H34 H42:H53 H61:H72 J4:J15 J23:J34 J42:J53 J61:J72" showDropDown="0" showInputMessage="1" showErrorMessage="1" allowBlank="1" type="list">
      <formula1>$S$1:$S$2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cols>
    <col width="10.85546875" customWidth="1" style="3" min="1" max="1"/>
    <col width="13" customWidth="1" style="3" min="2" max="2"/>
    <col width="10.85546875" customWidth="1" style="3" min="3" max="3"/>
    <col width="10.7109375" customWidth="1" style="3" min="4" max="4"/>
    <col width="10.5703125" customWidth="1" style="3" min="5" max="5"/>
    <col width="12.7109375" customWidth="1" style="3" min="6" max="6"/>
    <col width="10.85546875" customWidth="1" style="3" min="7" max="8"/>
    <col width="11" customWidth="1" style="3" min="9" max="9"/>
    <col width="10.7109375" customWidth="1" style="3" min="10" max="10"/>
  </cols>
  <sheetData>
    <row r="1">
      <c r="A1" s="15" t="inlineStr">
        <is>
          <t>TIMETABLE</t>
        </is>
      </c>
      <c r="K1" s="2" t="n"/>
      <c r="S1" t="inlineStr">
        <is>
          <t>DONE</t>
        </is>
      </c>
    </row>
    <row r="2">
      <c r="A2" s="18" t="inlineStr">
        <is>
          <t>WEEK 1</t>
        </is>
      </c>
      <c r="S2" t="inlineStr">
        <is>
          <t>NOT DONE</t>
        </is>
      </c>
    </row>
    <row r="3">
      <c r="A3" s="16" t="inlineStr">
        <is>
          <t>MONDAY</t>
        </is>
      </c>
      <c r="B3" s="22" t="n"/>
      <c r="C3" s="16" t="inlineStr">
        <is>
          <t>TUESDAY</t>
        </is>
      </c>
      <c r="D3" s="22" t="n"/>
      <c r="E3" s="16" t="inlineStr">
        <is>
          <t>WEDNESDAY</t>
        </is>
      </c>
      <c r="F3" s="22" t="n"/>
      <c r="G3" s="16" t="inlineStr">
        <is>
          <t>THURSDAY</t>
        </is>
      </c>
      <c r="H3" s="22" t="n"/>
      <c r="I3" s="23" t="inlineStr">
        <is>
          <t>FRIDAY</t>
        </is>
      </c>
      <c r="J3" s="24" t="n"/>
      <c r="K3" s="1" t="n"/>
      <c r="L3" s="1" t="inlineStr">
        <is>
          <t>DONE</t>
        </is>
      </c>
      <c r="M3" s="1" t="inlineStr">
        <is>
          <t>NOT DONE</t>
        </is>
      </c>
    </row>
    <row r="4">
      <c r="A4" s="4" t="n"/>
      <c r="B4" s="6" t="n"/>
      <c r="C4" s="4" t="n"/>
      <c r="D4" s="8" t="n"/>
      <c r="E4" s="4" t="n"/>
      <c r="F4" s="8" t="n"/>
      <c r="G4" s="4" t="n"/>
      <c r="H4" s="8" t="n"/>
      <c r="I4" s="4" t="n"/>
      <c r="J4" s="10" t="n"/>
      <c r="L4" s="1" t="n"/>
      <c r="M4" s="1" t="n"/>
    </row>
    <row r="5">
      <c r="A5" s="4" t="n"/>
      <c r="B5" s="6" t="n"/>
      <c r="C5" s="4" t="n"/>
      <c r="D5" s="8" t="n"/>
      <c r="E5" s="4" t="n"/>
      <c r="F5" s="8" t="n"/>
      <c r="G5" s="4" t="n"/>
      <c r="H5" s="8" t="n"/>
      <c r="I5" s="4" t="n"/>
      <c r="J5" s="10" t="n"/>
      <c r="L5" s="1">
        <f>COUNTIF(B4:J15, "DONE")</f>
        <v/>
      </c>
      <c r="M5" s="1">
        <f>COUNTIF(B4:J15, "NOT DONE")</f>
        <v/>
      </c>
      <c r="N5">
        <f>COUNTIF(B4:J15, "DONE") / (COUNTIF(B4:J15, "DONE") + COUNTIF(B4:J15, "NOT DONE"))</f>
        <v/>
      </c>
    </row>
    <row r="6">
      <c r="A6" s="4" t="n"/>
      <c r="B6" s="6" t="n"/>
      <c r="C6" s="4" t="n"/>
      <c r="D6" s="8" t="n"/>
      <c r="E6" s="4" t="n"/>
      <c r="F6" s="8" t="n"/>
      <c r="G6" s="4" t="n"/>
      <c r="H6" s="8" t="n"/>
      <c r="I6" s="4" t="n"/>
      <c r="J6" s="10" t="n"/>
    </row>
    <row r="7">
      <c r="A7" s="4" t="n"/>
      <c r="B7" s="6" t="n"/>
      <c r="C7" s="4" t="n"/>
      <c r="D7" s="8" t="n"/>
      <c r="E7" s="4" t="n"/>
      <c r="F7" s="8" t="n"/>
      <c r="G7" s="4" t="n"/>
      <c r="H7" s="8" t="n"/>
      <c r="I7" s="4" t="n"/>
      <c r="J7" s="10" t="n"/>
    </row>
    <row r="8">
      <c r="A8" s="4" t="n"/>
      <c r="B8" s="6" t="n"/>
      <c r="C8" s="4" t="n"/>
      <c r="D8" s="8" t="n"/>
      <c r="E8" s="4" t="n"/>
      <c r="F8" s="8" t="n"/>
      <c r="G8" s="4" t="n"/>
      <c r="H8" s="8" t="n"/>
      <c r="I8" s="4" t="n"/>
      <c r="J8" s="10" t="n"/>
    </row>
    <row r="9">
      <c r="A9" s="4" t="n"/>
      <c r="B9" s="6" t="n"/>
      <c r="C9" s="4" t="n"/>
      <c r="D9" s="8" t="n"/>
      <c r="E9" s="4" t="n"/>
      <c r="F9" s="8" t="n"/>
      <c r="G9" s="4" t="n"/>
      <c r="H9" s="8" t="n"/>
      <c r="I9" s="4" t="n"/>
      <c r="J9" s="10" t="n"/>
    </row>
    <row r="10">
      <c r="A10" s="4" t="n"/>
      <c r="B10" s="6" t="n"/>
      <c r="C10" s="4" t="n"/>
      <c r="D10" s="8" t="n"/>
      <c r="E10" s="4" t="n"/>
      <c r="F10" s="8" t="n"/>
      <c r="G10" s="4" t="n"/>
      <c r="H10" s="8" t="n"/>
      <c r="I10" s="4" t="n"/>
      <c r="J10" s="10" t="n"/>
    </row>
    <row r="11">
      <c r="A11" s="4" t="n"/>
      <c r="B11" s="6" t="n"/>
      <c r="C11" s="4" t="n"/>
      <c r="D11" s="8" t="n"/>
      <c r="E11" s="4" t="n"/>
      <c r="F11" s="8" t="n"/>
      <c r="G11" s="4" t="n"/>
      <c r="H11" s="8" t="n"/>
      <c r="I11" s="4" t="n"/>
      <c r="J11" s="10" t="n"/>
    </row>
    <row r="12">
      <c r="A12" s="4" t="n"/>
      <c r="B12" s="6" t="n"/>
      <c r="C12" s="4" t="n"/>
      <c r="D12" s="8" t="n"/>
      <c r="E12" s="4" t="n"/>
      <c r="F12" s="8" t="n"/>
      <c r="G12" s="4" t="n"/>
      <c r="H12" s="8" t="n"/>
      <c r="I12" s="4" t="n"/>
      <c r="J12" s="10" t="n"/>
    </row>
    <row r="13">
      <c r="A13" s="4" t="n"/>
      <c r="B13" s="6" t="n"/>
      <c r="C13" s="4" t="n"/>
      <c r="D13" s="8" t="n"/>
      <c r="E13" s="4" t="n"/>
      <c r="F13" s="8" t="n"/>
      <c r="G13" s="4" t="n"/>
      <c r="H13" s="8" t="n"/>
      <c r="I13" s="4" t="n"/>
      <c r="J13" s="10" t="n"/>
    </row>
    <row r="14">
      <c r="A14" s="4" t="n"/>
      <c r="B14" s="6" t="n"/>
      <c r="C14" s="4" t="n"/>
      <c r="D14" s="8" t="n"/>
      <c r="E14" s="4" t="n"/>
      <c r="F14" s="8" t="n"/>
      <c r="G14" s="4" t="n"/>
      <c r="H14" s="8" t="n"/>
      <c r="I14" s="4" t="n"/>
      <c r="J14" s="10" t="n"/>
    </row>
    <row r="15">
      <c r="A15" s="5" t="n"/>
      <c r="B15" s="7" t="n"/>
      <c r="C15" s="5" t="n"/>
      <c r="D15" s="9" t="n"/>
      <c r="E15" s="5" t="n"/>
      <c r="F15" s="9" t="n"/>
      <c r="G15" s="5" t="n"/>
      <c r="H15" s="9" t="n"/>
      <c r="I15" s="5" t="n"/>
      <c r="J15" s="11" t="n"/>
    </row>
    <row r="17">
      <c r="A17" s="12" t="inlineStr">
        <is>
          <t>ALEMÃO</t>
        </is>
      </c>
      <c r="B17" s="12" t="inlineStr">
        <is>
          <t>EMOCIONAL</t>
        </is>
      </c>
      <c r="C17" s="12" t="inlineStr">
        <is>
          <t>ESPANHOL</t>
        </is>
      </c>
      <c r="D17" s="12" t="inlineStr">
        <is>
          <t>FRANCÊS</t>
        </is>
      </c>
      <c r="E17" s="12" t="inlineStr">
        <is>
          <t>IDIOMAS</t>
        </is>
      </c>
      <c r="F17" s="12" t="inlineStr">
        <is>
          <t>INDONESIAN</t>
        </is>
      </c>
      <c r="G17" s="12" t="inlineStr">
        <is>
          <t>ITALIANO</t>
        </is>
      </c>
      <c r="H17" s="12" t="inlineStr">
        <is>
          <t>JAPONÊS</t>
        </is>
      </c>
      <c r="I17" s="12" t="inlineStr">
        <is>
          <t>KOREAN</t>
        </is>
      </c>
      <c r="J17" s="12" t="inlineStr">
        <is>
          <t>LIBRAS</t>
        </is>
      </c>
    </row>
    <row r="18">
      <c r="A18" s="12">
        <f>COUNTIFS(A4:I15, "ALEMÃO", B4:J15, "NOT DONE")</f>
        <v/>
      </c>
      <c r="B18" s="12">
        <f>COUNTIFS(A4:I15, "EMOCIONAL", B4:J15, "NOT DONE")</f>
        <v/>
      </c>
      <c r="C18" s="12">
        <f>COUNTIFS(A4:I15, "ESPANHOL", B4:J15, "NOT DONE")</f>
        <v/>
      </c>
      <c r="D18" s="12">
        <f>COUNTIFS(A4:I15, "FRANCÊS", B4:J15, "NOT DONE")</f>
        <v/>
      </c>
      <c r="E18" s="12">
        <f>COUNTIFS(A4:I15, "IDIOMAS", B4:J15, "NOT DONE")</f>
        <v/>
      </c>
      <c r="F18" s="12">
        <f>COUNTIFS(A4:I15, "INDONESIAN", B4:J15, "NOT DONE")</f>
        <v/>
      </c>
      <c r="G18" s="12">
        <f>COUNTIFS(A4:I15, "ITALIANO", B4:J15, "NOT DONE")</f>
        <v/>
      </c>
      <c r="H18" s="12">
        <f>COUNTIFS(A4:I15, "JAPONÊS", B4:J15, "NOT DONE")</f>
        <v/>
      </c>
      <c r="I18" s="12">
        <f>COUNTIFS(A4:I15, "KOREAN", B4:J15, "NOT DONE")</f>
        <v/>
      </c>
      <c r="J18" s="12">
        <f>COUNTIFS(A4:I15, "LIBRAS", B4:J15, "NOT DONE")</f>
        <v/>
      </c>
    </row>
    <row r="20">
      <c r="A20" s="15" t="inlineStr">
        <is>
          <t>TIMETABLE</t>
        </is>
      </c>
      <c r="K20" s="2" t="n"/>
    </row>
    <row r="21">
      <c r="A21" s="18" t="inlineStr">
        <is>
          <t>WEEK 2</t>
        </is>
      </c>
    </row>
    <row r="22">
      <c r="A22" s="16" t="inlineStr">
        <is>
          <t>MONDAY</t>
        </is>
      </c>
      <c r="B22" s="22" t="n"/>
      <c r="C22" s="16" t="inlineStr">
        <is>
          <t>TUESDAY</t>
        </is>
      </c>
      <c r="D22" s="22" t="n"/>
      <c r="E22" s="16" t="inlineStr">
        <is>
          <t>WEDNESDAY</t>
        </is>
      </c>
      <c r="F22" s="22" t="n"/>
      <c r="G22" s="16" t="inlineStr">
        <is>
          <t>THURSDAY</t>
        </is>
      </c>
      <c r="H22" s="22" t="n"/>
      <c r="I22" s="23" t="inlineStr">
        <is>
          <t>FRIDAY</t>
        </is>
      </c>
      <c r="J22" s="24" t="n"/>
      <c r="K22" s="1" t="n"/>
      <c r="L22" s="1" t="inlineStr">
        <is>
          <t>DONE</t>
        </is>
      </c>
      <c r="M22" s="1" t="inlineStr">
        <is>
          <t>NOT DONE</t>
        </is>
      </c>
    </row>
    <row r="23">
      <c r="A23" s="4" t="n"/>
      <c r="B23" s="6" t="n"/>
      <c r="C23" s="4" t="n"/>
      <c r="D23" s="8" t="n"/>
      <c r="E23" s="4" t="n"/>
      <c r="F23" s="8" t="n"/>
      <c r="G23" s="4" t="n"/>
      <c r="H23" s="8" t="n"/>
      <c r="I23" s="4" t="n"/>
      <c r="J23" s="10" t="n"/>
      <c r="L23" s="1" t="n"/>
      <c r="M23" s="1" t="n"/>
    </row>
    <row r="24">
      <c r="A24" s="4" t="n"/>
      <c r="B24" s="6" t="n"/>
      <c r="C24" s="4" t="n"/>
      <c r="D24" s="8" t="n"/>
      <c r="E24" s="4" t="n"/>
      <c r="F24" s="8" t="n"/>
      <c r="G24" s="4" t="n"/>
      <c r="H24" s="8" t="n"/>
      <c r="I24" s="4" t="n"/>
      <c r="J24" s="10" t="n"/>
      <c r="L24" s="1">
        <f>COUNTIF(B23:J34, "DONE")</f>
        <v/>
      </c>
      <c r="M24" s="1">
        <f>COUNTIF(B23:J34, "NOT DONE")</f>
        <v/>
      </c>
      <c r="N24">
        <f>COUNTIF(B23:J34, "DONE") / (COUNTIF(B23:J34, "DONE") + COUNTIF(B23:J34, "NOT DONE"))</f>
        <v/>
      </c>
    </row>
    <row r="25">
      <c r="A25" s="4" t="n"/>
      <c r="B25" s="6" t="n"/>
      <c r="C25" s="4" t="n"/>
      <c r="D25" s="8" t="n"/>
      <c r="E25" s="4" t="n"/>
      <c r="F25" s="8" t="n"/>
      <c r="G25" s="4" t="n"/>
      <c r="H25" s="8" t="n"/>
      <c r="I25" s="4" t="n"/>
      <c r="J25" s="10" t="n"/>
    </row>
    <row r="26">
      <c r="A26" s="4" t="n"/>
      <c r="B26" s="6" t="n"/>
      <c r="C26" s="4" t="n"/>
      <c r="D26" s="8" t="n"/>
      <c r="E26" s="4" t="n"/>
      <c r="F26" s="8" t="n"/>
      <c r="G26" s="4" t="n"/>
      <c r="H26" s="8" t="n"/>
      <c r="I26" s="4" t="n"/>
      <c r="J26" s="10" t="n"/>
    </row>
    <row r="27">
      <c r="A27" s="4" t="n"/>
      <c r="B27" s="6" t="n"/>
      <c r="C27" s="4" t="n"/>
      <c r="D27" s="8" t="n"/>
      <c r="E27" s="4" t="n"/>
      <c r="F27" s="8" t="n"/>
      <c r="G27" s="4" t="n"/>
      <c r="H27" s="8" t="n"/>
      <c r="I27" s="4" t="n"/>
      <c r="J27" s="10" t="n"/>
    </row>
    <row r="28">
      <c r="A28" s="4" t="n"/>
      <c r="B28" s="6" t="n"/>
      <c r="C28" s="4" t="n"/>
      <c r="D28" s="8" t="n"/>
      <c r="E28" s="4" t="n"/>
      <c r="F28" s="8" t="n"/>
      <c r="G28" s="4" t="n"/>
      <c r="H28" s="8" t="n"/>
      <c r="I28" s="4" t="n"/>
      <c r="J28" s="10" t="n"/>
    </row>
    <row r="29">
      <c r="A29" s="4" t="n"/>
      <c r="B29" s="6" t="n"/>
      <c r="C29" s="4" t="n"/>
      <c r="D29" s="8" t="n"/>
      <c r="E29" s="4" t="n"/>
      <c r="F29" s="8" t="n"/>
      <c r="G29" s="4" t="n"/>
      <c r="H29" s="8" t="n"/>
      <c r="I29" s="4" t="n"/>
      <c r="J29" s="10" t="n"/>
    </row>
    <row r="30">
      <c r="A30" s="4" t="n"/>
      <c r="B30" s="6" t="n"/>
      <c r="C30" s="4" t="n"/>
      <c r="D30" s="8" t="n"/>
      <c r="E30" s="4" t="n"/>
      <c r="F30" s="8" t="n"/>
      <c r="G30" s="4" t="n"/>
      <c r="H30" s="8" t="n"/>
      <c r="I30" s="4" t="n"/>
      <c r="J30" s="10" t="n"/>
    </row>
    <row r="31">
      <c r="A31" s="4" t="n"/>
      <c r="B31" s="6" t="n"/>
      <c r="C31" s="4" t="n"/>
      <c r="D31" s="8" t="n"/>
      <c r="E31" s="4" t="n"/>
      <c r="F31" s="8" t="n"/>
      <c r="G31" s="4" t="n"/>
      <c r="H31" s="8" t="n"/>
      <c r="I31" s="4" t="n"/>
      <c r="J31" s="10" t="n"/>
    </row>
    <row r="32">
      <c r="A32" s="4" t="n"/>
      <c r="B32" s="6" t="n"/>
      <c r="C32" s="4" t="n"/>
      <c r="D32" s="8" t="n"/>
      <c r="E32" s="4" t="n"/>
      <c r="F32" s="8" t="n"/>
      <c r="G32" s="4" t="n"/>
      <c r="H32" s="8" t="n"/>
      <c r="I32" s="4" t="n"/>
      <c r="J32" s="10" t="n"/>
    </row>
    <row r="33">
      <c r="A33" s="4" t="n"/>
      <c r="B33" s="6" t="n"/>
      <c r="C33" s="4" t="n"/>
      <c r="D33" s="8" t="n"/>
      <c r="E33" s="4" t="n"/>
      <c r="F33" s="8" t="n"/>
      <c r="G33" s="4" t="n"/>
      <c r="H33" s="8" t="n"/>
      <c r="I33" s="4" t="n"/>
      <c r="J33" s="10" t="n"/>
    </row>
    <row r="34">
      <c r="A34" s="5" t="n"/>
      <c r="B34" s="7" t="n"/>
      <c r="C34" s="5" t="n"/>
      <c r="D34" s="9" t="n"/>
      <c r="E34" s="5" t="n"/>
      <c r="F34" s="9" t="n"/>
      <c r="G34" s="5" t="n"/>
      <c r="H34" s="9" t="n"/>
      <c r="I34" s="5" t="n"/>
      <c r="J34" s="11" t="n"/>
    </row>
    <row r="36">
      <c r="A36" s="12" t="inlineStr">
        <is>
          <t>ALEMÃO</t>
        </is>
      </c>
      <c r="B36" s="12" t="inlineStr">
        <is>
          <t>EMOCIONAL</t>
        </is>
      </c>
      <c r="C36" s="12" t="inlineStr">
        <is>
          <t>ESPANHOL</t>
        </is>
      </c>
      <c r="D36" s="12" t="inlineStr">
        <is>
          <t>FRANCÊS</t>
        </is>
      </c>
      <c r="E36" s="12" t="inlineStr">
        <is>
          <t>IDIOMAS</t>
        </is>
      </c>
      <c r="F36" s="12" t="inlineStr">
        <is>
          <t>INDONESIAN</t>
        </is>
      </c>
      <c r="G36" s="12" t="inlineStr">
        <is>
          <t>ITALIANO</t>
        </is>
      </c>
      <c r="H36" s="12" t="inlineStr">
        <is>
          <t>JAPONÊS</t>
        </is>
      </c>
      <c r="I36" s="12" t="inlineStr">
        <is>
          <t>KOREAN</t>
        </is>
      </c>
      <c r="J36" s="12" t="inlineStr">
        <is>
          <t>LIBRAS</t>
        </is>
      </c>
    </row>
    <row r="37">
      <c r="A37" s="12">
        <f>COUNTIFS(A23:I34, "ALEMÃO", B23:J34, "NOT DONE")</f>
        <v/>
      </c>
      <c r="B37" s="12">
        <f>COUNTIFS(A23:I34, "EMOCIONAL", B23:J34, "NOT DONE")</f>
        <v/>
      </c>
      <c r="C37" s="12">
        <f>COUNTIFS(A23:I34, "ESPANHOL", B23:J34, "NOT DONE")</f>
        <v/>
      </c>
      <c r="D37" s="12">
        <f>COUNTIFS(A23:I34, "FRANCÊS", B23:J34, "NOT DONE")</f>
        <v/>
      </c>
      <c r="E37" s="12">
        <f>COUNTIFS(A23:I34, "IDIOMAS", B23:J34, "NOT DONE")</f>
        <v/>
      </c>
      <c r="F37" s="12">
        <f>COUNTIFS(A23:I34, "INDONESIAN", B23:J34, "NOT DONE")</f>
        <v/>
      </c>
      <c r="G37" s="12">
        <f>COUNTIFS(A23:I34, "ITALIANO", B23:J34, "NOT DONE")</f>
        <v/>
      </c>
      <c r="H37" s="12">
        <f>COUNTIFS(A23:I34, "JAPONÊS", B23:J34, "NOT DONE")</f>
        <v/>
      </c>
      <c r="I37" s="12">
        <f>COUNTIFS(A23:I34, "KOREAN", B23:J34, "NOT DONE")</f>
        <v/>
      </c>
      <c r="J37" s="12">
        <f>COUNTIFS(A23:I34, "LIBRAS", B23:J34, "NOT DONE")</f>
        <v/>
      </c>
    </row>
    <row r="39">
      <c r="A39" s="15" t="inlineStr">
        <is>
          <t>TIMETABLE</t>
        </is>
      </c>
      <c r="K39" s="2" t="n"/>
    </row>
    <row r="40">
      <c r="A40" s="18" t="inlineStr">
        <is>
          <t>WEEK 3</t>
        </is>
      </c>
    </row>
    <row r="41">
      <c r="A41" s="16" t="inlineStr">
        <is>
          <t>MONDAY</t>
        </is>
      </c>
      <c r="B41" s="22" t="n"/>
      <c r="C41" s="16" t="inlineStr">
        <is>
          <t>TUESDAY</t>
        </is>
      </c>
      <c r="D41" s="22" t="n"/>
      <c r="E41" s="16" t="inlineStr">
        <is>
          <t>WEDNESDAY</t>
        </is>
      </c>
      <c r="F41" s="22" t="n"/>
      <c r="G41" s="16" t="inlineStr">
        <is>
          <t>THURSDAY</t>
        </is>
      </c>
      <c r="H41" s="22" t="n"/>
      <c r="I41" s="23" t="inlineStr">
        <is>
          <t>FRIDAY</t>
        </is>
      </c>
      <c r="J41" s="24" t="n"/>
      <c r="K41" s="1" t="n"/>
      <c r="L41" s="1" t="inlineStr">
        <is>
          <t>DONE</t>
        </is>
      </c>
      <c r="M41" s="1" t="inlineStr">
        <is>
          <t>NOT DONE</t>
        </is>
      </c>
    </row>
    <row r="42">
      <c r="A42" s="4" t="n"/>
      <c r="B42" s="6" t="n"/>
      <c r="C42" s="4" t="n"/>
      <c r="D42" s="8" t="n"/>
      <c r="E42" s="4" t="n"/>
      <c r="F42" s="8" t="n"/>
      <c r="G42" s="4" t="n"/>
      <c r="H42" s="8" t="n"/>
      <c r="I42" s="4" t="n"/>
      <c r="J42" s="10" t="n"/>
      <c r="L42" s="1" t="n"/>
      <c r="M42" s="1" t="n"/>
    </row>
    <row r="43">
      <c r="A43" s="4" t="n"/>
      <c r="B43" s="6" t="n"/>
      <c r="C43" s="4" t="n"/>
      <c r="D43" s="8" t="n"/>
      <c r="E43" s="4" t="n"/>
      <c r="F43" s="8" t="n"/>
      <c r="G43" s="4" t="n"/>
      <c r="H43" s="8" t="n"/>
      <c r="I43" s="4" t="n"/>
      <c r="J43" s="10" t="n"/>
      <c r="L43" s="1">
        <f>COUNTIF(B42:J53, "DONE")</f>
        <v/>
      </c>
      <c r="M43" s="1">
        <f>COUNTIF(B42:J53, "NOT DONE")</f>
        <v/>
      </c>
      <c r="N43">
        <f>COUNTIF(B42:J53, "DONE") / (COUNTIF(B42:J53, "DONE") + COUNTIF(B42:J53, "NOT DONE"))</f>
        <v/>
      </c>
    </row>
    <row r="44">
      <c r="A44" s="4" t="n"/>
      <c r="B44" s="6" t="n"/>
      <c r="C44" s="4" t="n"/>
      <c r="D44" s="8" t="n"/>
      <c r="E44" s="4" t="n"/>
      <c r="F44" s="8" t="n"/>
      <c r="G44" s="4" t="n"/>
      <c r="H44" s="8" t="n"/>
      <c r="I44" s="4" t="n"/>
      <c r="J44" s="10" t="n"/>
    </row>
    <row r="45">
      <c r="A45" s="4" t="n"/>
      <c r="B45" s="6" t="n"/>
      <c r="C45" s="4" t="n"/>
      <c r="D45" s="8" t="n"/>
      <c r="E45" s="4" t="n"/>
      <c r="F45" s="8" t="n"/>
      <c r="G45" s="4" t="n"/>
      <c r="H45" s="8" t="n"/>
      <c r="I45" s="4" t="n"/>
      <c r="J45" s="10" t="n"/>
    </row>
    <row r="46">
      <c r="A46" s="4" t="n"/>
      <c r="B46" s="6" t="n"/>
      <c r="C46" s="4" t="n"/>
      <c r="D46" s="8" t="n"/>
      <c r="E46" s="4" t="n"/>
      <c r="F46" s="8" t="n"/>
      <c r="G46" s="4" t="n"/>
      <c r="H46" s="8" t="n"/>
      <c r="I46" s="4" t="n"/>
      <c r="J46" s="10" t="n"/>
    </row>
    <row r="47">
      <c r="A47" s="4" t="n"/>
      <c r="B47" s="6" t="n"/>
      <c r="C47" s="4" t="n"/>
      <c r="D47" s="8" t="n"/>
      <c r="E47" s="4" t="n"/>
      <c r="F47" s="8" t="n"/>
      <c r="G47" s="4" t="n"/>
      <c r="H47" s="8" t="n"/>
      <c r="I47" s="4" t="n"/>
      <c r="J47" s="10" t="n"/>
    </row>
    <row r="48">
      <c r="A48" s="4" t="n"/>
      <c r="B48" s="6" t="n"/>
      <c r="C48" s="4" t="n"/>
      <c r="D48" s="8" t="n"/>
      <c r="E48" s="4" t="n"/>
      <c r="F48" s="8" t="n"/>
      <c r="G48" s="4" t="n"/>
      <c r="H48" s="8" t="n"/>
      <c r="I48" s="4" t="n"/>
      <c r="J48" s="10" t="n"/>
    </row>
    <row r="49">
      <c r="A49" s="4" t="n"/>
      <c r="B49" s="6" t="n"/>
      <c r="C49" s="4" t="n"/>
      <c r="D49" s="8" t="n"/>
      <c r="E49" s="4" t="n"/>
      <c r="F49" s="8" t="n"/>
      <c r="G49" s="4" t="n"/>
      <c r="H49" s="8" t="n"/>
      <c r="I49" s="4" t="n"/>
      <c r="J49" s="10" t="n"/>
    </row>
    <row r="50">
      <c r="A50" s="4" t="n"/>
      <c r="B50" s="6" t="n"/>
      <c r="C50" s="4" t="n"/>
      <c r="D50" s="8" t="n"/>
      <c r="E50" s="4" t="n"/>
      <c r="F50" s="8" t="n"/>
      <c r="G50" s="4" t="n"/>
      <c r="H50" s="8" t="n"/>
      <c r="I50" s="4" t="n"/>
      <c r="J50" s="10" t="n"/>
    </row>
    <row r="51">
      <c r="A51" s="4" t="n"/>
      <c r="B51" s="6" t="n"/>
      <c r="C51" s="4" t="n"/>
      <c r="D51" s="8" t="n"/>
      <c r="E51" s="4" t="n"/>
      <c r="F51" s="8" t="n"/>
      <c r="G51" s="4" t="n"/>
      <c r="H51" s="8" t="n"/>
      <c r="I51" s="4" t="n"/>
      <c r="J51" s="10" t="n"/>
    </row>
    <row r="52">
      <c r="A52" s="4" t="n"/>
      <c r="B52" s="6" t="n"/>
      <c r="C52" s="4" t="n"/>
      <c r="D52" s="8" t="n"/>
      <c r="E52" s="4" t="n"/>
      <c r="F52" s="8" t="n"/>
      <c r="G52" s="4" t="n"/>
      <c r="H52" s="8" t="n"/>
      <c r="I52" s="4" t="n"/>
      <c r="J52" s="10" t="n"/>
    </row>
    <row r="53">
      <c r="A53" s="5" t="n"/>
      <c r="B53" s="7" t="n"/>
      <c r="C53" s="5" t="n"/>
      <c r="D53" s="9" t="n"/>
      <c r="E53" s="5" t="n"/>
      <c r="F53" s="9" t="n"/>
      <c r="G53" s="5" t="n"/>
      <c r="H53" s="9" t="n"/>
      <c r="I53" s="5" t="n"/>
      <c r="J53" s="11" t="n"/>
    </row>
    <row r="55">
      <c r="A55" s="12" t="inlineStr">
        <is>
          <t>ALEMÃO</t>
        </is>
      </c>
      <c r="B55" s="12" t="inlineStr">
        <is>
          <t>EMOCIONAL</t>
        </is>
      </c>
      <c r="C55" s="12" t="inlineStr">
        <is>
          <t>ESPANHOL</t>
        </is>
      </c>
      <c r="D55" s="12" t="inlineStr">
        <is>
          <t>FRANCÊS</t>
        </is>
      </c>
      <c r="E55" s="12" t="inlineStr">
        <is>
          <t>IDIOMAS</t>
        </is>
      </c>
      <c r="F55" s="12" t="inlineStr">
        <is>
          <t>INDONESIAN</t>
        </is>
      </c>
      <c r="G55" s="12" t="inlineStr">
        <is>
          <t>ITALIANO</t>
        </is>
      </c>
      <c r="H55" s="12" t="inlineStr">
        <is>
          <t>JAPONÊS</t>
        </is>
      </c>
      <c r="I55" s="12" t="inlineStr">
        <is>
          <t>KOREAN</t>
        </is>
      </c>
      <c r="J55" s="12" t="inlineStr">
        <is>
          <t>LIBRAS</t>
        </is>
      </c>
    </row>
    <row r="56">
      <c r="A56" s="12">
        <f>COUNTIFS(A42:I53, "ALEMÃO", B42:J53, "NOT DONE")</f>
        <v/>
      </c>
      <c r="B56" s="12">
        <f>COUNTIFS(A42:I53, "EMOCIONAL", B42:J53, "NOT DONE")</f>
        <v/>
      </c>
      <c r="C56" s="12">
        <f>COUNTIFS(A42:I53, "ESPANHOL", B42:J53, "NOT DONE")</f>
        <v/>
      </c>
      <c r="D56" s="12">
        <f>COUNTIFS(A42:I53, "FRANCÊS", B42:J53, "NOT DONE")</f>
        <v/>
      </c>
      <c r="E56" s="12">
        <f>COUNTIFS(A42:I53, "IDIOMAS", B42:J53, "NOT DONE")</f>
        <v/>
      </c>
      <c r="F56" s="12">
        <f>COUNTIFS(A42:I53, "INDONESIAN", B42:J53, "NOT DONE")</f>
        <v/>
      </c>
      <c r="G56" s="12">
        <f>COUNTIFS(A42:I53, "ITALIANO", B42:J53, "NOT DONE")</f>
        <v/>
      </c>
      <c r="H56" s="12">
        <f>COUNTIFS(A42:I53, "JAPONÊS", B42:J53, "NOT DONE")</f>
        <v/>
      </c>
      <c r="I56" s="12">
        <f>COUNTIFS(A42:I53, "KOREAN", B42:J53, "NOT DONE")</f>
        <v/>
      </c>
      <c r="J56" s="12">
        <f>COUNTIFS(A42:I53, "LIBRAS", B42:J53, "NOT DONE")</f>
        <v/>
      </c>
    </row>
    <row r="58">
      <c r="A58" s="15" t="inlineStr">
        <is>
          <t>TIMETABLE</t>
        </is>
      </c>
      <c r="K58" s="2" t="n"/>
    </row>
    <row r="59">
      <c r="A59" s="18" t="inlineStr">
        <is>
          <t>WEEK 4</t>
        </is>
      </c>
    </row>
    <row r="60">
      <c r="A60" s="16" t="inlineStr">
        <is>
          <t>MONDAY</t>
        </is>
      </c>
      <c r="B60" s="22" t="n"/>
      <c r="C60" s="16" t="inlineStr">
        <is>
          <t>TUESDAY</t>
        </is>
      </c>
      <c r="D60" s="22" t="n"/>
      <c r="E60" s="16" t="inlineStr">
        <is>
          <t>WEDNESDAY</t>
        </is>
      </c>
      <c r="F60" s="22" t="n"/>
      <c r="G60" s="16" t="inlineStr">
        <is>
          <t>THURSDAY</t>
        </is>
      </c>
      <c r="H60" s="22" t="n"/>
      <c r="I60" s="23" t="inlineStr">
        <is>
          <t>FRIDAY</t>
        </is>
      </c>
      <c r="J60" s="24" t="n"/>
      <c r="K60" s="1" t="n"/>
      <c r="L60" s="1" t="inlineStr">
        <is>
          <t>DONE</t>
        </is>
      </c>
      <c r="M60" s="1" t="inlineStr">
        <is>
          <t>NOT DONE</t>
        </is>
      </c>
    </row>
    <row r="61">
      <c r="A61" s="4" t="n"/>
      <c r="B61" s="6" t="n"/>
      <c r="C61" s="4" t="n"/>
      <c r="D61" s="8" t="n"/>
      <c r="E61" s="4" t="n"/>
      <c r="F61" s="8" t="n"/>
      <c r="G61" s="4" t="n"/>
      <c r="H61" s="8" t="n"/>
      <c r="I61" s="4" t="n"/>
      <c r="J61" s="10" t="n"/>
      <c r="L61" s="1" t="n"/>
      <c r="M61" s="1" t="n"/>
    </row>
    <row r="62">
      <c r="A62" s="4" t="n"/>
      <c r="B62" s="6" t="n"/>
      <c r="C62" s="4" t="n"/>
      <c r="D62" s="8" t="n"/>
      <c r="E62" s="4" t="n"/>
      <c r="F62" s="8" t="n"/>
      <c r="G62" s="4" t="n"/>
      <c r="H62" s="8" t="n"/>
      <c r="I62" s="4" t="n"/>
      <c r="J62" s="10" t="n"/>
      <c r="L62" s="1">
        <f>COUNTIF(B61:J72, "DONE")</f>
        <v/>
      </c>
      <c r="M62" s="1">
        <f>COUNTIF(B61:J72, "NOT DONE")</f>
        <v/>
      </c>
      <c r="N62">
        <f>COUNTIF(B61:J72, "DONE") / (COUNTIF(B61:J72, "DONE") + COUNTIF(B61:J72, "NOT DONE"))</f>
        <v/>
      </c>
    </row>
    <row r="63">
      <c r="A63" s="4" t="n"/>
      <c r="B63" s="6" t="n"/>
      <c r="C63" s="4" t="n"/>
      <c r="D63" s="8" t="n"/>
      <c r="E63" s="4" t="n"/>
      <c r="F63" s="8" t="n"/>
      <c r="G63" s="4" t="n"/>
      <c r="H63" s="8" t="n"/>
      <c r="I63" s="4" t="n"/>
      <c r="J63" s="10" t="n"/>
    </row>
    <row r="64">
      <c r="A64" s="4" t="n"/>
      <c r="B64" s="6" t="n"/>
      <c r="C64" s="4" t="n"/>
      <c r="D64" s="8" t="n"/>
      <c r="E64" s="4" t="n"/>
      <c r="F64" s="8" t="n"/>
      <c r="G64" s="4" t="n"/>
      <c r="H64" s="8" t="n"/>
      <c r="I64" s="4" t="n"/>
      <c r="J64" s="10" t="n"/>
    </row>
    <row r="65">
      <c r="A65" s="4" t="n"/>
      <c r="B65" s="6" t="n"/>
      <c r="C65" s="4" t="n"/>
      <c r="D65" s="8" t="n"/>
      <c r="E65" s="4" t="n"/>
      <c r="F65" s="8" t="n"/>
      <c r="G65" s="4" t="n"/>
      <c r="H65" s="8" t="n"/>
      <c r="I65" s="4" t="n"/>
      <c r="J65" s="10" t="n"/>
    </row>
    <row r="66">
      <c r="A66" s="4" t="n"/>
      <c r="B66" s="6" t="n"/>
      <c r="C66" s="4" t="n"/>
      <c r="D66" s="8" t="n"/>
      <c r="E66" s="4" t="n"/>
      <c r="F66" s="8" t="n"/>
      <c r="G66" s="4" t="n"/>
      <c r="H66" s="8" t="n"/>
      <c r="I66" s="4" t="n"/>
      <c r="J66" s="10" t="n"/>
    </row>
    <row r="67">
      <c r="A67" s="4" t="n"/>
      <c r="B67" s="6" t="n"/>
      <c r="C67" s="4" t="n"/>
      <c r="D67" s="8" t="n"/>
      <c r="E67" s="4" t="n"/>
      <c r="F67" s="8" t="n"/>
      <c r="G67" s="4" t="n"/>
      <c r="H67" s="8" t="n"/>
      <c r="I67" s="4" t="n"/>
      <c r="J67" s="10" t="n"/>
    </row>
    <row r="68">
      <c r="A68" s="4" t="n"/>
      <c r="B68" s="6" t="n"/>
      <c r="C68" s="4" t="n"/>
      <c r="D68" s="8" t="n"/>
      <c r="E68" s="4" t="n"/>
      <c r="F68" s="8" t="n"/>
      <c r="G68" s="4" t="n"/>
      <c r="H68" s="8" t="n"/>
      <c r="I68" s="4" t="n"/>
      <c r="J68" s="10" t="n"/>
    </row>
    <row r="69">
      <c r="A69" s="4" t="n"/>
      <c r="B69" s="6" t="n"/>
      <c r="C69" s="4" t="n"/>
      <c r="D69" s="8" t="n"/>
      <c r="E69" s="4" t="n"/>
      <c r="F69" s="8" t="n"/>
      <c r="G69" s="4" t="n"/>
      <c r="H69" s="8" t="n"/>
      <c r="I69" s="4" t="n"/>
      <c r="J69" s="10" t="n"/>
    </row>
    <row r="70">
      <c r="A70" s="4" t="n"/>
      <c r="B70" s="6" t="n"/>
      <c r="C70" s="4" t="n"/>
      <c r="D70" s="8" t="n"/>
      <c r="E70" s="4" t="n"/>
      <c r="F70" s="8" t="n"/>
      <c r="G70" s="4" t="n"/>
      <c r="H70" s="8" t="n"/>
      <c r="I70" s="4" t="n"/>
      <c r="J70" s="10" t="n"/>
    </row>
    <row r="71">
      <c r="A71" s="4" t="n"/>
      <c r="B71" s="6" t="n"/>
      <c r="C71" s="4" t="n"/>
      <c r="D71" s="8" t="n"/>
      <c r="E71" s="4" t="n"/>
      <c r="F71" s="8" t="n"/>
      <c r="G71" s="4" t="n"/>
      <c r="H71" s="8" t="n"/>
      <c r="I71" s="4" t="n"/>
      <c r="J71" s="10" t="n"/>
    </row>
    <row r="72">
      <c r="A72" s="5" t="n"/>
      <c r="B72" s="7" t="n"/>
      <c r="C72" s="5" t="n"/>
      <c r="D72" s="9" t="n"/>
      <c r="E72" s="5" t="n"/>
      <c r="F72" s="9" t="n"/>
      <c r="G72" s="5" t="n"/>
      <c r="H72" s="9" t="n"/>
      <c r="I72" s="5" t="n"/>
      <c r="J72" s="11" t="n"/>
    </row>
    <row r="74">
      <c r="A74" s="12" t="inlineStr">
        <is>
          <t>ALEMÃO</t>
        </is>
      </c>
      <c r="B74" s="12" t="inlineStr">
        <is>
          <t>EMOCIONAL</t>
        </is>
      </c>
      <c r="C74" s="12" t="inlineStr">
        <is>
          <t>ESPANHOL</t>
        </is>
      </c>
      <c r="D74" s="12" t="inlineStr">
        <is>
          <t>FRANCÊS</t>
        </is>
      </c>
      <c r="E74" s="12" t="inlineStr">
        <is>
          <t>IDIOMAS</t>
        </is>
      </c>
      <c r="F74" s="12" t="inlineStr">
        <is>
          <t>INDONESIAN</t>
        </is>
      </c>
      <c r="G74" s="12" t="inlineStr">
        <is>
          <t>ITALIANO</t>
        </is>
      </c>
      <c r="H74" s="12" t="inlineStr">
        <is>
          <t>JAPONÊS</t>
        </is>
      </c>
      <c r="I74" s="12" t="inlineStr">
        <is>
          <t>KOREAN</t>
        </is>
      </c>
      <c r="J74" s="12" t="inlineStr">
        <is>
          <t>LIBRAS</t>
        </is>
      </c>
    </row>
    <row r="75">
      <c r="A75" s="12">
        <f>COUNTIFS(A61:I72, "ALEMÃO", B61:J72, "NOT DONE")</f>
        <v/>
      </c>
      <c r="B75" s="12">
        <f>COUNTIFS(A61:I72, "EMOCIONAL", B61:J72, "NOT DONE")</f>
        <v/>
      </c>
      <c r="C75" s="12">
        <f>COUNTIFS(A61:I72, "ESPANHOL", B61:J72, "NOT DONE")</f>
        <v/>
      </c>
      <c r="D75" s="12">
        <f>COUNTIFS(A61:I72, "FRANCÊS", B61:J72, "NOT DONE")</f>
        <v/>
      </c>
      <c r="E75" s="12">
        <f>COUNTIFS(A61:I72, "IDIOMAS", B61:J72, "NOT DONE")</f>
        <v/>
      </c>
      <c r="F75" s="12">
        <f>COUNTIFS(A61:I72, "INDONESIAN", B61:J72, "NOT DONE")</f>
        <v/>
      </c>
      <c r="G75" s="12">
        <f>COUNTIFS(A61:I72, "ITALIANO", B61:J72, "NOT DONE")</f>
        <v/>
      </c>
      <c r="H75" s="12">
        <f>COUNTIFS(A61:I72, "JAPONÊS", B61:J72, "NOT DONE")</f>
        <v/>
      </c>
      <c r="I75" s="12">
        <f>COUNTIFS(A61:I72, "KOREAN", B61:J72, "NOT DONE")</f>
        <v/>
      </c>
      <c r="J75" s="12">
        <f>COUNTIFS(A61:I72, "LIBRAS", B61:J72, "NOT DONE")</f>
        <v/>
      </c>
    </row>
  </sheetData>
  <mergeCells count="28">
    <mergeCell ref="A60:B60"/>
    <mergeCell ref="A20:J20"/>
    <mergeCell ref="A58:J58"/>
    <mergeCell ref="A40:J40"/>
    <mergeCell ref="A41:B41"/>
    <mergeCell ref="C41:D41"/>
    <mergeCell ref="I41:J41"/>
    <mergeCell ref="A39:J39"/>
    <mergeCell ref="A59:J59"/>
    <mergeCell ref="C22:D22"/>
    <mergeCell ref="I22:J22"/>
    <mergeCell ref="E60:F60"/>
    <mergeCell ref="A3:B3"/>
    <mergeCell ref="G3:H3"/>
    <mergeCell ref="I3:J3"/>
    <mergeCell ref="A1:J1"/>
    <mergeCell ref="C60:D60"/>
    <mergeCell ref="I60:J60"/>
    <mergeCell ref="A22:B22"/>
    <mergeCell ref="A2:J2"/>
    <mergeCell ref="E41:F41"/>
    <mergeCell ref="G41:H41"/>
    <mergeCell ref="A21:J21"/>
    <mergeCell ref="E22:F22"/>
    <mergeCell ref="G22:H22"/>
    <mergeCell ref="C3:D3"/>
    <mergeCell ref="G60:H60"/>
    <mergeCell ref="E3:F3"/>
  </mergeCells>
  <conditionalFormatting sqref="B4:B15 D4:D15 F4:F15 H4:H15 J4:J15">
    <cfRule type="containsText" priority="8" operator="containsText" dxfId="1" text="DONE">
      <formula>NOT(ISERROR(SEARCH("DONE",B4)))</formula>
    </cfRule>
    <cfRule type="containsText" priority="7" operator="containsText" dxfId="0" text="NOT DONE">
      <formula>NOT(ISERROR(SEARCH("NOT DONE",B4)))</formula>
    </cfRule>
  </conditionalFormatting>
  <conditionalFormatting sqref="B23:B34 D23:D34 F23:F34 H23:H34 J23:J34">
    <cfRule type="containsText" priority="6" operator="containsText" dxfId="1" text="DONE">
      <formula>NOT(ISERROR(SEARCH("DONE",B23)))</formula>
    </cfRule>
    <cfRule type="containsText" priority="5" operator="containsText" dxfId="0" text="NOT DONE">
      <formula>NOT(ISERROR(SEARCH("NOT DONE",B23)))</formula>
    </cfRule>
  </conditionalFormatting>
  <conditionalFormatting sqref="B42:B53 D42:D53 F42:F53 H42:H53 J42:J53">
    <cfRule type="containsText" priority="4" operator="containsText" dxfId="1" text="DONE">
      <formula>NOT(ISERROR(SEARCH("DONE",B42)))</formula>
    </cfRule>
    <cfRule type="containsText" priority="3" operator="containsText" dxfId="0" text="NOT DONE">
      <formula>NOT(ISERROR(SEARCH("NOT DONE",B42)))</formula>
    </cfRule>
  </conditionalFormatting>
  <conditionalFormatting sqref="B61:B72 D61:D72 F61:F72 H61:H72 J61:J72">
    <cfRule type="containsText" priority="2" operator="containsText" dxfId="1" text="DONE">
      <formula>NOT(ISERROR(SEARCH("DONE",B61)))</formula>
    </cfRule>
    <cfRule type="containsText" priority="1" operator="containsText" dxfId="0" text="NOT DONE">
      <formula>NOT(ISERROR(SEARCH("NOT DONE",B61)))</formula>
    </cfRule>
  </conditionalFormatting>
  <dataValidations count="1">
    <dataValidation sqref="B4:B15 B23:B34 B42:B53 B61:B72 D4:D15 D23:D34 D42:D53 D61:D72 F4:F15 F23:F34 F42:F53 F61:F72 H4:H15 H23:H34 H42:H53 H61:H72 J4:J15 J23:J34 J42:J53 J61:J72" showDropDown="0" showInputMessage="1" showErrorMessage="1" allowBlank="1" type="list">
      <formula1>$S$1:$S$2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title</t>
        </is>
      </c>
      <c r="D1" t="inlineStr">
        <is>
          <t>color</t>
        </is>
      </c>
      <c r="E1" t="inlineStr">
        <is>
          <t>note</t>
        </is>
      </c>
    </row>
    <row r="2">
      <c r="A2" t="inlineStr">
        <is>
          <t>mu8p2ixmckpb</t>
        </is>
      </c>
      <c r="B2" t="inlineStr">
        <is>
          <t>2026-09-19</t>
        </is>
      </c>
      <c r="C2" t="inlineStr">
        <is>
          <t>k</t>
        </is>
      </c>
      <c r="D2" t="inlineStr">
        <is>
          <t>#C7F2D5</t>
        </is>
      </c>
      <c r="E2" t="inlineStr"/>
      <c r="F2" t="inlineStr">
        <is>
          <t>task</t>
        </is>
      </c>
      <c r="G2" t="inlineStr">
        <is>
          <t>FALSE</t>
        </is>
      </c>
      <c r="H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2026-08-14T23:40:36Z</dcterms:created>
  <dcterms:modified xsi:type="dcterms:W3CDTF">2026-09-19T18:02:06Z</dcterms:modified>
</cp:coreProperties>
</file>