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7D068BA3-CEE9-4C00-9978-B55D0B75BF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OKS" sheetId="2" r:id="rId1"/>
    <sheet name="Planilha1" sheetId="5" r:id="rId2"/>
    <sheet name="2017" sheetId="3" r:id="rId3"/>
    <sheet name="2018" sheetId="4" r:id="rId4"/>
    <sheet name="2020" sheetId="6" r:id="rId5"/>
    <sheet name="2021" sheetId="7" r:id="rId6"/>
    <sheet name="2022" sheetId="8" r:id="rId7"/>
    <sheet name="2023" sheetId="9" r:id="rId8"/>
    <sheet name="2024" sheetId="10" r:id="rId9"/>
    <sheet name="2025" sheetId="11" r:id="rId10"/>
    <sheet name="2026" sheetId="13" r:id="rId11"/>
    <sheet name="2027" sheetId="12" r:id="rId12"/>
    <sheet name="2028" sheetId="14" r:id="rId13"/>
    <sheet name="2029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0" i="5" l="1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82" i="10"/>
  <c r="H14" i="11"/>
  <c r="H13" i="11"/>
  <c r="H12" i="11"/>
  <c r="H11" i="11"/>
  <c r="H10" i="11"/>
  <c r="H9" i="11"/>
  <c r="H8" i="11"/>
  <c r="H7" i="11"/>
  <c r="H6" i="11"/>
  <c r="H5" i="11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3" i="15"/>
  <c r="G3" i="15"/>
  <c r="F3" i="15"/>
  <c r="D3" i="15"/>
  <c r="A3" i="15"/>
  <c r="H3" i="14"/>
  <c r="G3" i="14"/>
  <c r="F3" i="14"/>
  <c r="D3" i="14"/>
  <c r="A3" i="14"/>
  <c r="H3" i="13"/>
  <c r="G3" i="13"/>
  <c r="F3" i="13"/>
  <c r="D3" i="13"/>
  <c r="A3" i="13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6" i="7"/>
  <c r="H5" i="7"/>
  <c r="H3" i="12"/>
  <c r="G3" i="12"/>
  <c r="F3" i="12"/>
  <c r="D3" i="12"/>
  <c r="A3" i="12"/>
  <c r="H3" i="11"/>
  <c r="G3" i="11"/>
  <c r="F3" i="11"/>
  <c r="D3" i="11"/>
  <c r="A3" i="11"/>
  <c r="H3" i="10"/>
  <c r="G3" i="10"/>
  <c r="F3" i="10"/>
  <c r="D3" i="10"/>
  <c r="A3" i="10"/>
  <c r="H3" i="9"/>
  <c r="G3" i="9"/>
  <c r="F3" i="9"/>
  <c r="D3" i="9"/>
  <c r="A3" i="9"/>
  <c r="H12" i="6"/>
  <c r="H11" i="6"/>
  <c r="H10" i="6"/>
  <c r="H9" i="6"/>
  <c r="H8" i="6"/>
  <c r="H7" i="6"/>
  <c r="H6" i="6"/>
  <c r="H5" i="6"/>
  <c r="H9" i="4"/>
  <c r="H8" i="4"/>
  <c r="H7" i="4"/>
  <c r="H6" i="4"/>
  <c r="H5" i="4"/>
  <c r="H3" i="8"/>
  <c r="G3" i="8"/>
  <c r="F3" i="8"/>
  <c r="D3" i="8"/>
  <c r="A3" i="8"/>
  <c r="H3" i="7"/>
  <c r="G3" i="7"/>
  <c r="F3" i="7"/>
  <c r="D3" i="7"/>
  <c r="A3" i="7"/>
  <c r="H3" i="6"/>
  <c r="G3" i="6"/>
  <c r="F3" i="6"/>
  <c r="D3" i="6"/>
  <c r="A3" i="6"/>
  <c r="H3" i="5"/>
  <c r="G3" i="5"/>
  <c r="F3" i="5"/>
  <c r="D3" i="5"/>
  <c r="A3" i="5"/>
  <c r="H3" i="4"/>
  <c r="G3" i="4"/>
  <c r="F3" i="4"/>
  <c r="D3" i="4"/>
  <c r="A3" i="4"/>
  <c r="H10" i="3"/>
  <c r="H9" i="3"/>
  <c r="H8" i="3"/>
  <c r="H7" i="3"/>
  <c r="H6" i="3"/>
  <c r="H5" i="3"/>
  <c r="H3" i="3"/>
  <c r="G3" i="3"/>
  <c r="F3" i="3"/>
  <c r="D3" i="3"/>
  <c r="A3" i="3"/>
  <c r="H202" i="2"/>
  <c r="H195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80" i="2"/>
  <c r="H81" i="2"/>
  <c r="H82" i="2"/>
  <c r="H83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93" i="2"/>
  <c r="H194" i="2"/>
  <c r="H196" i="2"/>
  <c r="H197" i="2"/>
  <c r="H198" i="2"/>
  <c r="H199" i="2"/>
  <c r="H200" i="2"/>
  <c r="H201" i="2"/>
  <c r="D3" i="2"/>
  <c r="F3" i="2"/>
  <c r="A3" i="2"/>
  <c r="G3" i="2"/>
  <c r="H44" i="2"/>
  <c r="H46" i="2"/>
  <c r="H48" i="2"/>
  <c r="H49" i="2"/>
  <c r="H50" i="2"/>
  <c r="H51" i="2"/>
  <c r="H52" i="2"/>
  <c r="H53" i="2"/>
  <c r="H54" i="2"/>
  <c r="H55" i="2"/>
  <c r="H56" i="2"/>
  <c r="H57" i="2"/>
  <c r="H58" i="2"/>
  <c r="H166" i="2"/>
  <c r="H62" i="2"/>
  <c r="H63" i="2"/>
  <c r="H64" i="2"/>
  <c r="H65" i="2"/>
  <c r="H66" i="2"/>
  <c r="H68" i="2"/>
  <c r="H69" i="2"/>
  <c r="H70" i="2"/>
  <c r="H72" i="2"/>
  <c r="H73" i="2"/>
  <c r="H74" i="2"/>
  <c r="H75" i="2"/>
  <c r="H76" i="2"/>
  <c r="H77" i="2"/>
  <c r="H78" i="2"/>
  <c r="H79" i="2"/>
  <c r="H25" i="2"/>
  <c r="H26" i="2"/>
  <c r="H27" i="2"/>
  <c r="H28" i="2"/>
  <c r="H29" i="2"/>
  <c r="H30" i="2"/>
  <c r="H31" i="2"/>
  <c r="H32" i="2"/>
  <c r="H42" i="2"/>
  <c r="H192" i="2"/>
  <c r="H41" i="2"/>
  <c r="H174" i="2"/>
  <c r="H175" i="2"/>
  <c r="H43" i="2"/>
  <c r="H45" i="2"/>
  <c r="H47" i="2"/>
  <c r="H59" i="2"/>
  <c r="H60" i="2"/>
  <c r="H61" i="2"/>
  <c r="H67" i="2"/>
  <c r="H71" i="2"/>
  <c r="H84" i="2"/>
  <c r="H118" i="2"/>
  <c r="H119" i="2"/>
  <c r="H149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33" i="2"/>
  <c r="H168" i="2"/>
  <c r="H34" i="2"/>
  <c r="H35" i="2"/>
  <c r="H36" i="2"/>
  <c r="H37" i="2"/>
  <c r="H169" i="2"/>
  <c r="H170" i="2"/>
  <c r="H38" i="2"/>
  <c r="H171" i="2"/>
  <c r="H172" i="2"/>
  <c r="H39" i="2"/>
  <c r="H40" i="2"/>
  <c r="H173" i="2"/>
  <c r="H167" i="2"/>
  <c r="H3" i="2" l="1"/>
</calcChain>
</file>

<file path=xl/sharedStrings.xml><?xml version="1.0" encoding="utf-8"?>
<sst xmlns="http://schemas.openxmlformats.org/spreadsheetml/2006/main" count="1612" uniqueCount="290">
  <si>
    <t>MANHWA / WEBTOON / LIVROS</t>
  </si>
  <si>
    <t>Title</t>
  </si>
  <si>
    <t>Author</t>
  </si>
  <si>
    <t>Genre</t>
  </si>
  <si>
    <t>Status</t>
  </si>
  <si>
    <t>Format</t>
  </si>
  <si>
    <t>Rating (1-5)</t>
  </si>
  <si>
    <t>Pages</t>
  </si>
  <si>
    <t>Star Display</t>
  </si>
  <si>
    <t>Date Finished</t>
  </si>
  <si>
    <t>Review / Notes</t>
  </si>
  <si>
    <t>OS 13 PORQUÊS</t>
  </si>
  <si>
    <t>JAY ASHER</t>
  </si>
  <si>
    <t>DRAMA</t>
  </si>
  <si>
    <t>Finished</t>
  </si>
  <si>
    <t>Ebook</t>
  </si>
  <si>
    <t>O LADO BOM DA VIDA</t>
  </si>
  <si>
    <t>MATTHEW QUICK</t>
  </si>
  <si>
    <t>FICÇÃO</t>
  </si>
  <si>
    <t>Physical</t>
  </si>
  <si>
    <t>JOGOS VORAZES</t>
  </si>
  <si>
    <t>SUZANNE COLLINS</t>
  </si>
  <si>
    <t>DISTOPIA</t>
  </si>
  <si>
    <t>MY FAVE</t>
  </si>
  <si>
    <t>EM CHAMAS</t>
  </si>
  <si>
    <t>A GAROTA QUE PERSEGUIU A LUA</t>
  </si>
  <si>
    <t>SARAH ADDISON ALLEN</t>
  </si>
  <si>
    <t>BOULE &amp; BILL: SEMENTE DE COCKER</t>
  </si>
  <si>
    <t>LAURENT VERRON</t>
  </si>
  <si>
    <t>MANGÁ</t>
  </si>
  <si>
    <t>A ESPERANÇA</t>
  </si>
  <si>
    <t>DOR</t>
  </si>
  <si>
    <t>COMO E PORQUE LER OS CLÁSSICOS UNIVERSAIS DESDE CEDO</t>
  </si>
  <si>
    <t>ANA MARIA MACHADO</t>
  </si>
  <si>
    <t>CREPÚSCULO</t>
  </si>
  <si>
    <t>STEPHENIE MEYER</t>
  </si>
  <si>
    <t>ROMANCE</t>
  </si>
  <si>
    <t>ORGULHO E PRECONCEITO</t>
  </si>
  <si>
    <t>JANE AUSTEN</t>
  </si>
  <si>
    <t>NÃO IMPORTA A VERSÃO, FAV</t>
  </si>
  <si>
    <t>JANE EYRE</t>
  </si>
  <si>
    <t>CHARLOTTE BRONTË</t>
  </si>
  <si>
    <t>SUSPENSE</t>
  </si>
  <si>
    <t>UM PORTO SEGURO</t>
  </si>
  <si>
    <t>NICHOLAS SPARKS</t>
  </si>
  <si>
    <t>JÁ NÃO SEI SE GOSTO MESMO</t>
  </si>
  <si>
    <t>THE HUNGER GAMES</t>
  </si>
  <si>
    <t>Audiobook</t>
  </si>
  <si>
    <t>PERFEITO EM QUALQUER FORMATO</t>
  </si>
  <si>
    <t>CATCHING FIRE</t>
  </si>
  <si>
    <t>ANNIE</t>
  </si>
  <si>
    <t>THOMAS MEEHAN</t>
  </si>
  <si>
    <t>FANTASMAGORIAS</t>
  </si>
  <si>
    <t>FLAVIA MUNIZ</t>
  </si>
  <si>
    <t>NACIONAL</t>
  </si>
  <si>
    <t>FURTA-COR</t>
  </si>
  <si>
    <t>THIIAGO IACOCCA</t>
  </si>
  <si>
    <t>O PRIMEIRO TELEFONEMA DO CÉU</t>
  </si>
  <si>
    <t>MITCH ALBOM</t>
  </si>
  <si>
    <t>RELIGIÃO</t>
  </si>
  <si>
    <t>TRÊS COISAS SOBRE VOCÊ</t>
  </si>
  <si>
    <t>JULIE BUXBAUM</t>
  </si>
  <si>
    <t>LUA NOVA</t>
  </si>
  <si>
    <t>FANTASIA</t>
  </si>
  <si>
    <t>PERDIDA</t>
  </si>
  <si>
    <t>CARINA RISSI</t>
  </si>
  <si>
    <t>A CULPA É DAS ESTRELAS</t>
  </si>
  <si>
    <t>JOHN GREEN</t>
  </si>
  <si>
    <t>TODOS ENVOLVIDOS</t>
  </si>
  <si>
    <t>RYAN GATTIS</t>
  </si>
  <si>
    <t>BASEADO EM FATOS REAIS</t>
  </si>
  <si>
    <t>DELPHINE DE VIGAN</t>
  </si>
  <si>
    <t>A BRUXA NÃO VAI PARA A FOGUEIRRA NESTE LIVRO</t>
  </si>
  <si>
    <t>AMANDA LOVELACE</t>
  </si>
  <si>
    <t>POESIA</t>
  </si>
  <si>
    <t>A MENINA QUE COLECIONAVA BORBOLETAS</t>
  </si>
  <si>
    <t>BRUNA VIEIRA</t>
  </si>
  <si>
    <t>JUVENIL</t>
  </si>
  <si>
    <t>QUEM É VOCÊ, ALASCA?</t>
  </si>
  <si>
    <t>SE EU FICAR</t>
  </si>
  <si>
    <t>GAYLE FORMAN</t>
  </si>
  <si>
    <t>LOVE OF CLOUD AND RAIN</t>
  </si>
  <si>
    <t>OKDONG</t>
  </si>
  <si>
    <t>BL</t>
  </si>
  <si>
    <t>THE MAID AND THE VAMPIRE</t>
  </si>
  <si>
    <t>SEON LEE</t>
  </si>
  <si>
    <t>THE KNIGHT'S UNFULFILLED DREAMS</t>
  </si>
  <si>
    <t>KIM SUJIN</t>
  </si>
  <si>
    <t>LIFELESS MAN</t>
  </si>
  <si>
    <t>KIMNYEONG</t>
  </si>
  <si>
    <t>SADDEST SHIT I EVER READ</t>
  </si>
  <si>
    <t>THE OTHER MAN</t>
  </si>
  <si>
    <t>THE KEYSTONE ROMANTIC COMBINATION</t>
  </si>
  <si>
    <t>YUNI LIN</t>
  </si>
  <si>
    <t>THE DIRECTOR WHO BUYS ME DINNER</t>
  </si>
  <si>
    <t>EUNJI YANGG</t>
  </si>
  <si>
    <t>MISS YOU, LUCIFER</t>
  </si>
  <si>
    <t>MOSCARETO</t>
  </si>
  <si>
    <t>THE LADY AND HER BUTLER</t>
  </si>
  <si>
    <t>JADE</t>
  </si>
  <si>
    <t>O MENINO DO PIJAMA LISTRADO</t>
  </si>
  <si>
    <t>JOHN BOYNE</t>
  </si>
  <si>
    <t>ECLIPSE</t>
  </si>
  <si>
    <t>TIMING</t>
  </si>
  <si>
    <t>PERSUASÃO</t>
  </si>
  <si>
    <t>THE BUTTERFLY GIRL</t>
  </si>
  <si>
    <t>RENE DENFELD</t>
  </si>
  <si>
    <t>OS MISERÁVEIS</t>
  </si>
  <si>
    <t>VICTOR HUGO</t>
  </si>
  <si>
    <t>A GOOD DAY TO GO CRAZY</t>
  </si>
  <si>
    <t>YUSA</t>
  </si>
  <si>
    <t>THREE'S A CROWD</t>
  </si>
  <si>
    <t>LOVE LIES</t>
  </si>
  <si>
    <t>FROM BREAD TO CLOSETS</t>
  </si>
  <si>
    <t>CAT AND DOG</t>
  </si>
  <si>
    <t>A BOOKSTORE ROMANCE</t>
  </si>
  <si>
    <t>THE DEMON QUEEN HAS A DEATH WISH</t>
  </si>
  <si>
    <t>THE NEW RECRUIT</t>
  </si>
  <si>
    <t>SUDDENLY A LADY</t>
  </si>
  <si>
    <t>I WANNA BE THE MADAM</t>
  </si>
  <si>
    <t>THE PERFECT REPLACEMENT</t>
  </si>
  <si>
    <t>ORGULHO E PRECONCEITO E ZUMBIS</t>
  </si>
  <si>
    <t>SETH GRAHAME-SMITH</t>
  </si>
  <si>
    <t>MEU AMOR</t>
  </si>
  <si>
    <t>GAROTA REPLAY</t>
  </si>
  <si>
    <t>TAMMY LUCIANO</t>
  </si>
  <si>
    <t>NUNCA LER OS FAVS DE INFÂNCIA</t>
  </si>
  <si>
    <t>REFÚGIO</t>
  </si>
  <si>
    <t>HARLAN COBEN</t>
  </si>
  <si>
    <t>LERIA UMA MILHÃO DE VEZES</t>
  </si>
  <si>
    <t>HEART STAIN</t>
  </si>
  <si>
    <t>UNFORGOTTEN NIGHT</t>
  </si>
  <si>
    <t>THE LOSING STREAK</t>
  </si>
  <si>
    <t>PERALTA</t>
  </si>
  <si>
    <t>LET'S KILL YOUR HUSBAND</t>
  </si>
  <si>
    <t>HEART STEIN</t>
  </si>
  <si>
    <t>A PRINCESA SALVA A SI MESMA NESTE LIVRO</t>
  </si>
  <si>
    <t>POESIA PESADA</t>
  </si>
  <si>
    <t>MY HUSBAND, MY SISTER, AND I</t>
  </si>
  <si>
    <t>OMEGA COMPLEX</t>
  </si>
  <si>
    <t>HANGONG</t>
  </si>
  <si>
    <t>KISS ME, LIAR</t>
  </si>
  <si>
    <t>DESTINADO</t>
  </si>
  <si>
    <t>EU ODEIO O IAN</t>
  </si>
  <si>
    <t>POSITIVELY YOURS</t>
  </si>
  <si>
    <t>LOVE TRACTOR</t>
  </si>
  <si>
    <t>A SHOULDER TO CRY ON</t>
  </si>
  <si>
    <t>THE THIRD ENDING</t>
  </si>
  <si>
    <t>DREAM AWAY</t>
  </si>
  <si>
    <t>SURGE TOWARDS YOU</t>
  </si>
  <si>
    <t>THE VANISHED DUCHESS</t>
  </si>
  <si>
    <t>BEWARE OF THE BROTHERS</t>
  </si>
  <si>
    <t>LOVE SHUTTLE</t>
  </si>
  <si>
    <t>MALICIOUS FRIENDSHIP</t>
  </si>
  <si>
    <t>THE WORST GUY IN THE UNIVERSE</t>
  </si>
  <si>
    <t>MARAVILHOSO, SEM NOTAS</t>
  </si>
  <si>
    <t>THE UNQUENCHABLE MR. KIM</t>
  </si>
  <si>
    <t>LOVE IS AN ILLUSION</t>
  </si>
  <si>
    <t>YOU LIKE ME</t>
  </si>
  <si>
    <t>ILEUM-EUL ALLYEOJUSEYO</t>
  </si>
  <si>
    <t>HANDS UP ME</t>
  </si>
  <si>
    <t>KOUGUU NO OMEGA</t>
  </si>
  <si>
    <t>LOVE PLAN</t>
  </si>
  <si>
    <t>LOVE AT FIRST BITE</t>
  </si>
  <si>
    <t>UNEXPECTED ATTRACTION</t>
  </si>
  <si>
    <t>NANDE NETERU ORE NO CHINKO NAMETANO?</t>
  </si>
  <si>
    <t>TEACHER'S PET</t>
  </si>
  <si>
    <t>IT FELT GOOD FROM THE FIRST TOUCH</t>
  </si>
  <si>
    <t>I'VE BECOME A TRUE VILLAINESS</t>
  </si>
  <si>
    <t>ICE MAN</t>
  </si>
  <si>
    <t>DECISION</t>
  </si>
  <si>
    <t>I'M DOOMED IF IT CAN'T BE YOU</t>
  </si>
  <si>
    <t>RETURNED SEASON</t>
  </si>
  <si>
    <t>TWO SIONS</t>
  </si>
  <si>
    <t>SULTAN'S LOVE</t>
  </si>
  <si>
    <t>DRUNKEN TRUTH</t>
  </si>
  <si>
    <t>MARRY ME, ALPHA</t>
  </si>
  <si>
    <t>REBIRTH</t>
  </si>
  <si>
    <t>WHEN I CLOSE MY EYES, MY HEART BEATS</t>
  </si>
  <si>
    <t>LION HEART</t>
  </si>
  <si>
    <t>HITORIJIME BOYFRIEND</t>
  </si>
  <si>
    <t>THE TWINS AND ME</t>
  </si>
  <si>
    <t>MY X BEST FRIEND</t>
  </si>
  <si>
    <t>THE RULE OF THE BROTHERS</t>
  </si>
  <si>
    <t>I'M COMING, COMING</t>
  </si>
  <si>
    <t>THE DEVIL YOU KNOW</t>
  </si>
  <si>
    <t>SISTER IN LAW</t>
  </si>
  <si>
    <t>DELIVERY COMPLETE</t>
  </si>
  <si>
    <t>O LADRÃO DE RAIOS</t>
  </si>
  <si>
    <t>RICK RIORDAN</t>
  </si>
  <si>
    <t>AVENTURA</t>
  </si>
  <si>
    <t>LI COM A LOLI</t>
  </si>
  <si>
    <t>SEJAMOS TODOS FEMINISTAS</t>
  </si>
  <si>
    <t>CHIMAMANDA NGOZI ADICHIE</t>
  </si>
  <si>
    <t>POLÍTICA</t>
  </si>
  <si>
    <t>A THOUSAND CRANES</t>
  </si>
  <si>
    <t>10 WAYS TO RAISE A DRAGON</t>
  </si>
  <si>
    <t>NANEUN AREUMDAPDA</t>
  </si>
  <si>
    <t>BYE BYE</t>
  </si>
  <si>
    <t>PLEASURE PRINCIPLE</t>
  </si>
  <si>
    <t>NIGHT BY THE SEA</t>
  </si>
  <si>
    <t>PLACEBO MEMORY</t>
  </si>
  <si>
    <t>THE KING AND THE PALADIN</t>
  </si>
  <si>
    <t>ROMANCE, BUT NOT ROMANTIC</t>
  </si>
  <si>
    <t>KISS ME LIAR</t>
  </si>
  <si>
    <t>ASSORTED WILDNESS</t>
  </si>
  <si>
    <t>WHO'S YOUR DADDY?</t>
  </si>
  <si>
    <t>OUR FUTURE</t>
  </si>
  <si>
    <t>INCIDENTALLY LIVING TOGETHER</t>
  </si>
  <si>
    <t>THE BOSS IS TOO MUCH</t>
  </si>
  <si>
    <t>LADY TO QUEEN</t>
  </si>
  <si>
    <t>LEREI MIL VEZES ATÉ</t>
  </si>
  <si>
    <t>FINAL STOP</t>
  </si>
  <si>
    <t>LET ME CRY</t>
  </si>
  <si>
    <t>HELP ME, TEACHER</t>
  </si>
  <si>
    <t>EUNSOO'S GOOD DAY</t>
  </si>
  <si>
    <t>QUINCAS BORBA</t>
  </si>
  <si>
    <t>VERÔNICA BERTA</t>
  </si>
  <si>
    <t>DRAGON MAKING LOVE</t>
  </si>
  <si>
    <t>THE PREDATORY MARRIAGE BETWEEN THE KING AND THE PALADIN</t>
  </si>
  <si>
    <t>FRENEMIES (THICKER THAN BLOOD)</t>
  </si>
  <si>
    <t>ROMANCE BUT NOT ROMANTIC</t>
  </si>
  <si>
    <t>DEFINE THE RELATIONSHIP</t>
  </si>
  <si>
    <t>MISCREANTS AND MAYHEM</t>
  </si>
  <si>
    <t>HOW TO CHASE AN ALPHA</t>
  </si>
  <si>
    <t>SMYRNA &amp; CAPRI</t>
  </si>
  <si>
    <t>PLAYTHING: THE GRAND DUKE'S BOYTOY</t>
  </si>
  <si>
    <t>STIGMA</t>
  </si>
  <si>
    <t>SACRIFICED</t>
  </si>
  <si>
    <t>ONE KID, TWO DADS</t>
  </si>
  <si>
    <t>KISS OF DAMNATION</t>
  </si>
  <si>
    <t>THE GREATEST VILLAIN</t>
  </si>
  <si>
    <t>THE TIGER THAT SWALLOWED THE MOON</t>
  </si>
  <si>
    <t>NABIT</t>
  </si>
  <si>
    <t>HIS HOUSE</t>
  </si>
  <si>
    <t>MOM, I'M GAY</t>
  </si>
  <si>
    <t>IF YOU WISH</t>
  </si>
  <si>
    <t>NICE TO MEET YOU</t>
  </si>
  <si>
    <t>THE YOUTH PILL</t>
  </si>
  <si>
    <t>A NONSENSE RELATIONSHIP</t>
  </si>
  <si>
    <t>CIDADES DE PAPEL</t>
  </si>
  <si>
    <t>PARA SEMPRE</t>
  </si>
  <si>
    <t>ALYSON NOËL</t>
  </si>
  <si>
    <t>LUA AZUL</t>
  </si>
  <si>
    <t>A BAILARINA FANTASMA</t>
  </si>
  <si>
    <t>SOCORRO ACOLI</t>
  </si>
  <si>
    <t>MELHOR NACIONAL QUE JÁ LI</t>
  </si>
  <si>
    <t>TERRA DE SOMBRAS</t>
  </si>
  <si>
    <t>CHAMA NEGRA</t>
  </si>
  <si>
    <t>O GAROTO DA CASA AO LADO</t>
  </si>
  <si>
    <t>MEG CABOT</t>
  </si>
  <si>
    <t>GAROTO ENCONTRA GAROTA</t>
  </si>
  <si>
    <t>A MALDIÇÃO DO LOBISOMEN</t>
  </si>
  <si>
    <t>SHANNON DELANY</t>
  </si>
  <si>
    <t>TODO DIA</t>
  </si>
  <si>
    <t>DAVID LEVITHAN</t>
  </si>
  <si>
    <t>GÊNESIS</t>
  </si>
  <si>
    <t>BERNARD BECKETT</t>
  </si>
  <si>
    <t>CILADA</t>
  </si>
  <si>
    <t>CRIME</t>
  </si>
  <si>
    <t>O PEQUENO PRÍNCIPE</t>
  </si>
  <si>
    <t>ANTOINE DE SAINT-EXUPÉRY</t>
  </si>
  <si>
    <t>INFANTIL</t>
  </si>
  <si>
    <t>BRANCA DE NEVE E O CAÇADOR</t>
  </si>
  <si>
    <t>LILY BLAKE</t>
  </si>
  <si>
    <t>O SILÊNCIO DAS ASAS</t>
  </si>
  <si>
    <t>CONTOS</t>
  </si>
  <si>
    <t>MUITO MAIS QUE 5INCO MINUTOS</t>
  </si>
  <si>
    <t>KÉFERA BUCHMANN</t>
  </si>
  <si>
    <t>BIOGRAFIA</t>
  </si>
  <si>
    <t>DOES LOVE NEED A TRANSLATOR</t>
  </si>
  <si>
    <t>THE HUSKY &amp; HIS WHITE CAT SHIZUN 1</t>
  </si>
  <si>
    <t>ROU BAO BU CHI ROU</t>
  </si>
  <si>
    <t>TERMINOU EM DOR</t>
  </si>
  <si>
    <t>SUNRISE ON THE REAPING</t>
  </si>
  <si>
    <t>SUZANNE COLLINGS</t>
  </si>
  <si>
    <t>Reading</t>
  </si>
  <si>
    <t>UNDER THE OAK TREE - THE NOVEL - VOLUME ONE</t>
  </si>
  <si>
    <t>SUJI KIM</t>
  </si>
  <si>
    <t>FANTASY</t>
  </si>
  <si>
    <t>THE HUSKY &amp; HIS WHITE CAT SHIZUN 2</t>
  </si>
  <si>
    <t>THE HUSKY &amp; HIS WHITE CAT SHIZUN 3</t>
  </si>
  <si>
    <t>Want to Read</t>
  </si>
  <si>
    <t>GRANDMASTER OF DEMONIC CULTIVATION 1</t>
  </si>
  <si>
    <t>O LADO MAIS SOMBRIO 1</t>
  </si>
  <si>
    <t>A. G. HOWARD</t>
  </si>
  <si>
    <t>ATRÁS DO ESPELHO 2</t>
  </si>
  <si>
    <t>QUALQUER OUTRO LUGAR 3</t>
  </si>
  <si>
    <t>SUSSURROS DO PAÍS DAS MARAVILHAS 3.5</t>
  </si>
  <si>
    <t>UNDER THE OAK TREE - THE NOVEL - VOLUME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</si>
</sst>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1F1F1F"/>
      <name val="Google Sans Text"/>
      <family val="2"/>
      <charset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BEB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C4C7C5"/>
      </left>
      <right style="thin">
        <color rgb="FFC4C7C5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2" fillId="2" borderId="2" xfId="0" applyFont="1" applyFill="1" applyBorder="1" applyAlignment="1">
      <alignment horizontal="center" vertical="center" readingOrder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92"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FF8589"/>
        </patternFill>
      </fill>
    </dxf>
    <dxf>
      <font>
        <color theme="1"/>
      </font>
      <fill>
        <patternFill patternType="solid">
          <bgColor rgb="FFFFFDA1"/>
        </patternFill>
      </fill>
    </dxf>
    <dxf>
      <font>
        <color theme="1"/>
      </font>
      <fill>
        <patternFill patternType="solid">
          <bgColor theme="9" tint="0.59999389629810485"/>
        </patternFill>
      </fill>
    </dxf>
  </dxfs>
  <tableStyles count="0" defaultTableStyle="TableStyleMedium2" defaultPivotStyle="PivotStyleMedium9"/>
  <colors>
    <mruColors>
      <color rgb="FFFF8589"/>
      <color rgb="FFFFFDA1"/>
      <color rgb="FFF5F182"/>
      <color rgb="FFF9FF8C"/>
      <color rgb="FFFA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E779-5C10-4DFE-B40F-13384C93878C}">
  <dimension ref="A1:K300"/>
  <sheetViews>
    <sheetView tabSelected="1" workbookViewId="0">
      <pane ySplit="4" topLeftCell="A191" activePane="bottomLeft" state="frozen"/>
      <selection pane="bottomLeft" activeCell="D196" sqref="D196"/>
    </sheetView>
  </sheetViews>
  <sheetFormatPr defaultRowHeight="15"/>
  <cols>
    <col min="1" max="1" width="24.7109375" customWidth="1"/>
    <col min="2" max="2" width="22.85546875" customWidth="1"/>
    <col min="3" max="4" width="15.42578125" customWidth="1"/>
    <col min="5" max="5" width="14.5703125" customWidth="1"/>
    <col min="6" max="6" width="16.85546875" customWidth="1"/>
    <col min="7" max="7" width="13.7109375" customWidth="1"/>
    <col min="8" max="8" width="18" customWidth="1"/>
    <col min="9" max="9" width="20.42578125" customWidth="1"/>
    <col min="10" max="10" width="33.140625" customWidth="1"/>
  </cols>
  <sheetData>
    <row r="1" spans="1:11" ht="31.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>
      <c r="A2" s="4"/>
      <c r="B2" s="4"/>
      <c r="C2" s="4"/>
      <c r="D2" s="4"/>
      <c r="E2" s="4"/>
      <c r="F2" s="4"/>
      <c r="G2" s="4"/>
      <c r="H2" s="4"/>
      <c r="I2" s="4"/>
      <c r="J2" s="4"/>
    </row>
    <row r="3" spans="1:11">
      <c r="A3" s="2">
        <f>COUNTA(A5:A200)</f>
        <v>196</v>
      </c>
      <c r="B3" s="2"/>
      <c r="C3" s="2"/>
      <c r="D3" s="2">
        <f>COUNTIF(D5:D200, "Finished")</f>
        <v>189</v>
      </c>
      <c r="E3" s="2"/>
      <c r="F3" s="2">
        <f>AVERAGE(F5:F200)</f>
        <v>3.9179999999999997</v>
      </c>
      <c r="G3" s="2">
        <f>SUM(G5:G100)</f>
        <v>19828</v>
      </c>
      <c r="H3" s="2">
        <f>COUNTIF(F5:H200, 5)</f>
        <v>38</v>
      </c>
      <c r="I3" s="2"/>
      <c r="J3" s="2"/>
    </row>
    <row r="4" spans="1:11" s="9" customFormat="1" ht="21" customHeigh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8"/>
    </row>
    <row r="5" spans="1:11">
      <c r="A5" s="6" t="s">
        <v>11</v>
      </c>
      <c r="B5" s="6" t="s">
        <v>12</v>
      </c>
      <c r="C5" s="2" t="s">
        <v>13</v>
      </c>
      <c r="D5" s="2" t="s">
        <v>14</v>
      </c>
      <c r="E5" s="2" t="s">
        <v>15</v>
      </c>
      <c r="F5" s="2">
        <v>4.5</v>
      </c>
      <c r="G5" s="2">
        <v>256</v>
      </c>
      <c r="H5" s="2" t="str">
        <f>REPT("★", F5) &amp; REPT("☆", 5 - F5)</f>
        <v>★★★★</v>
      </c>
      <c r="I5" s="7">
        <v>42757</v>
      </c>
      <c r="J5" s="2"/>
    </row>
    <row r="6" spans="1:11">
      <c r="A6" s="6" t="s">
        <v>16</v>
      </c>
      <c r="B6" s="6" t="s">
        <v>17</v>
      </c>
      <c r="C6" s="2" t="s">
        <v>18</v>
      </c>
      <c r="D6" s="2" t="s">
        <v>14</v>
      </c>
      <c r="E6" s="2" t="s">
        <v>19</v>
      </c>
      <c r="F6" s="2">
        <v>5</v>
      </c>
      <c r="G6" s="2">
        <v>256</v>
      </c>
      <c r="H6" s="2" t="str">
        <f>REPT("★", F6) &amp; REPT("☆", 5 - F6)</f>
        <v>★★★★★</v>
      </c>
      <c r="I6" s="7">
        <v>42758</v>
      </c>
      <c r="J6" s="2"/>
    </row>
    <row r="7" spans="1:11">
      <c r="A7" s="6" t="s">
        <v>20</v>
      </c>
      <c r="B7" s="6" t="s">
        <v>21</v>
      </c>
      <c r="C7" s="2" t="s">
        <v>22</v>
      </c>
      <c r="D7" s="2" t="s">
        <v>14</v>
      </c>
      <c r="E7" s="2" t="s">
        <v>19</v>
      </c>
      <c r="F7" s="2">
        <v>5</v>
      </c>
      <c r="G7" s="2">
        <v>400</v>
      </c>
      <c r="H7" s="2" t="str">
        <f>REPT("★", F7) &amp; REPT("☆", 5 - F7)</f>
        <v>★★★★★</v>
      </c>
      <c r="I7" s="7">
        <v>42861</v>
      </c>
      <c r="J7" s="2" t="s">
        <v>23</v>
      </c>
    </row>
    <row r="8" spans="1:11">
      <c r="A8" s="6" t="s">
        <v>24</v>
      </c>
      <c r="B8" s="6" t="s">
        <v>21</v>
      </c>
      <c r="C8" s="2" t="s">
        <v>22</v>
      </c>
      <c r="D8" s="2" t="s">
        <v>14</v>
      </c>
      <c r="E8" s="2" t="s">
        <v>19</v>
      </c>
      <c r="F8" s="2">
        <v>5</v>
      </c>
      <c r="G8" s="2">
        <v>416</v>
      </c>
      <c r="H8" s="2" t="str">
        <f>REPT("★", F8) &amp; REPT("☆", 5 - F8)</f>
        <v>★★★★★</v>
      </c>
      <c r="I8" s="7">
        <v>42890</v>
      </c>
      <c r="J8" s="2" t="s">
        <v>23</v>
      </c>
    </row>
    <row r="9" spans="1:11" ht="30.75">
      <c r="A9" s="6" t="s">
        <v>25</v>
      </c>
      <c r="B9" s="6" t="s">
        <v>26</v>
      </c>
      <c r="C9" s="2"/>
      <c r="D9" s="2" t="s">
        <v>14</v>
      </c>
      <c r="E9" s="2" t="s">
        <v>15</v>
      </c>
      <c r="F9" s="2">
        <v>3.5</v>
      </c>
      <c r="G9" s="2">
        <v>243</v>
      </c>
      <c r="H9" s="2" t="str">
        <f>REPT("★", F9) &amp; REPT("☆", 5 - F9)</f>
        <v>★★★☆</v>
      </c>
      <c r="I9" s="7">
        <v>43006</v>
      </c>
      <c r="J9" s="2"/>
    </row>
    <row r="10" spans="1:11" ht="30.75">
      <c r="A10" s="6" t="s">
        <v>27</v>
      </c>
      <c r="B10" s="6" t="s">
        <v>28</v>
      </c>
      <c r="C10" s="2" t="s">
        <v>29</v>
      </c>
      <c r="D10" s="2" t="s">
        <v>14</v>
      </c>
      <c r="E10" s="2" t="s">
        <v>19</v>
      </c>
      <c r="F10" s="2">
        <v>4</v>
      </c>
      <c r="G10" s="2">
        <v>48</v>
      </c>
      <c r="H10" s="2" t="str">
        <f>REPT("★", F10) &amp; REPT("☆", 5 - F10)</f>
        <v>★★★★☆</v>
      </c>
      <c r="I10" s="7">
        <v>43027</v>
      </c>
      <c r="J10" s="2"/>
    </row>
    <row r="11" spans="1:11">
      <c r="A11" s="6" t="s">
        <v>30</v>
      </c>
      <c r="B11" s="6" t="s">
        <v>21</v>
      </c>
      <c r="C11" s="2" t="s">
        <v>22</v>
      </c>
      <c r="D11" s="2" t="s">
        <v>14</v>
      </c>
      <c r="E11" s="2" t="s">
        <v>19</v>
      </c>
      <c r="F11" s="2">
        <v>5</v>
      </c>
      <c r="G11" s="2">
        <v>424</v>
      </c>
      <c r="H11" s="2" t="str">
        <f>REPT("★", F11) &amp; REPT("☆", 5 - F11)</f>
        <v>★★★★★</v>
      </c>
      <c r="I11" s="7">
        <v>43171</v>
      </c>
      <c r="J11" s="2" t="s">
        <v>31</v>
      </c>
    </row>
    <row r="12" spans="1:11" ht="45.75">
      <c r="A12" s="6" t="s">
        <v>32</v>
      </c>
      <c r="B12" s="6" t="s">
        <v>33</v>
      </c>
      <c r="C12" s="2"/>
      <c r="D12" s="2" t="s">
        <v>14</v>
      </c>
      <c r="E12" s="2" t="s">
        <v>19</v>
      </c>
      <c r="F12" s="2">
        <v>3.5</v>
      </c>
      <c r="G12" s="2">
        <v>145</v>
      </c>
      <c r="H12" s="2" t="str">
        <f>REPT("★", F12) &amp; REPT("☆", 5 - F12)</f>
        <v>★★★☆</v>
      </c>
      <c r="I12" s="7">
        <v>43241</v>
      </c>
      <c r="J12" s="2"/>
    </row>
    <row r="13" spans="1:11">
      <c r="A13" s="6" t="s">
        <v>34</v>
      </c>
      <c r="B13" s="6" t="s">
        <v>35</v>
      </c>
      <c r="C13" s="2" t="s">
        <v>36</v>
      </c>
      <c r="D13" s="2" t="s">
        <v>14</v>
      </c>
      <c r="E13" s="2" t="s">
        <v>19</v>
      </c>
      <c r="F13" s="2">
        <v>4</v>
      </c>
      <c r="G13" s="2">
        <v>416</v>
      </c>
      <c r="H13" s="2" t="str">
        <f>REPT("★", F13) &amp; REPT("☆", 5 - F13)</f>
        <v>★★★★☆</v>
      </c>
      <c r="I13" s="7">
        <v>43286</v>
      </c>
      <c r="J13" s="2"/>
    </row>
    <row r="14" spans="1:11">
      <c r="A14" s="6" t="s">
        <v>37</v>
      </c>
      <c r="B14" s="6" t="s">
        <v>38</v>
      </c>
      <c r="C14" s="2" t="s">
        <v>36</v>
      </c>
      <c r="D14" s="2" t="s">
        <v>14</v>
      </c>
      <c r="E14" s="2" t="s">
        <v>19</v>
      </c>
      <c r="F14" s="2">
        <v>5</v>
      </c>
      <c r="G14" s="2">
        <v>320</v>
      </c>
      <c r="H14" s="2" t="str">
        <f>REPT("★", F14) &amp; REPT("☆", 5 - F14)</f>
        <v>★★★★★</v>
      </c>
      <c r="I14" s="7">
        <v>43286</v>
      </c>
      <c r="J14" s="2" t="s">
        <v>39</v>
      </c>
    </row>
    <row r="15" spans="1:11">
      <c r="A15" s="6" t="s">
        <v>40</v>
      </c>
      <c r="B15" s="6" t="s">
        <v>41</v>
      </c>
      <c r="C15" s="2" t="s">
        <v>42</v>
      </c>
      <c r="D15" s="2" t="s">
        <v>14</v>
      </c>
      <c r="E15" s="2" t="s">
        <v>19</v>
      </c>
      <c r="F15" s="2">
        <v>5</v>
      </c>
      <c r="G15" s="2">
        <v>144</v>
      </c>
      <c r="H15" s="2" t="str">
        <f>REPT("★", F15) &amp; REPT("☆", 5 - F15)</f>
        <v>★★★★★</v>
      </c>
      <c r="I15" s="7">
        <v>43425</v>
      </c>
      <c r="J15" s="2"/>
    </row>
    <row r="16" spans="1:11">
      <c r="A16" s="6" t="s">
        <v>43</v>
      </c>
      <c r="B16" s="6" t="s">
        <v>44</v>
      </c>
      <c r="C16" s="2" t="s">
        <v>36</v>
      </c>
      <c r="D16" s="2" t="s">
        <v>14</v>
      </c>
      <c r="E16" s="2" t="s">
        <v>19</v>
      </c>
      <c r="F16" s="2">
        <v>5</v>
      </c>
      <c r="G16" s="2">
        <v>304</v>
      </c>
      <c r="H16" s="2" t="str">
        <f>REPT("★", F16) &amp; REPT("☆", 5 - F16)</f>
        <v>★★★★★</v>
      </c>
      <c r="I16" s="7">
        <v>43852</v>
      </c>
      <c r="J16" s="2" t="s">
        <v>45</v>
      </c>
    </row>
    <row r="17" spans="1:10">
      <c r="A17" s="6" t="s">
        <v>46</v>
      </c>
      <c r="B17" s="6" t="s">
        <v>21</v>
      </c>
      <c r="C17" s="2" t="s">
        <v>22</v>
      </c>
      <c r="D17" s="2" t="s">
        <v>14</v>
      </c>
      <c r="E17" s="2" t="s">
        <v>47</v>
      </c>
      <c r="F17" s="2">
        <v>5</v>
      </c>
      <c r="G17" s="2"/>
      <c r="H17" s="2" t="str">
        <f>REPT("★", F17) &amp; REPT("☆", 5 - F17)</f>
        <v>★★★★★</v>
      </c>
      <c r="I17" s="7">
        <v>43888</v>
      </c>
      <c r="J17" s="2" t="s">
        <v>48</v>
      </c>
    </row>
    <row r="18" spans="1:10">
      <c r="A18" s="6" t="s">
        <v>49</v>
      </c>
      <c r="B18" s="6" t="s">
        <v>21</v>
      </c>
      <c r="C18" s="2" t="s">
        <v>22</v>
      </c>
      <c r="D18" s="2" t="s">
        <v>14</v>
      </c>
      <c r="E18" s="2" t="s">
        <v>47</v>
      </c>
      <c r="F18" s="2">
        <v>5</v>
      </c>
      <c r="G18" s="2"/>
      <c r="H18" s="2" t="str">
        <f>REPT("★", F18) &amp; REPT("☆", 5 - F18)</f>
        <v>★★★★★</v>
      </c>
      <c r="I18" s="7">
        <v>43893</v>
      </c>
      <c r="J18" s="2"/>
    </row>
    <row r="19" spans="1:10">
      <c r="A19" s="6" t="s">
        <v>50</v>
      </c>
      <c r="B19" s="6" t="s">
        <v>51</v>
      </c>
      <c r="C19" s="2"/>
      <c r="D19" s="2" t="s">
        <v>14</v>
      </c>
      <c r="E19" s="2" t="s">
        <v>19</v>
      </c>
      <c r="F19" s="2">
        <v>3.5</v>
      </c>
      <c r="G19" s="2">
        <v>208</v>
      </c>
      <c r="H19" s="2" t="str">
        <f>REPT("★", F19) &amp; REPT("☆", 5 - F19)</f>
        <v>★★★☆</v>
      </c>
      <c r="I19" s="7">
        <v>43969</v>
      </c>
      <c r="J19" s="2"/>
    </row>
    <row r="20" spans="1:10">
      <c r="A20" s="6" t="s">
        <v>52</v>
      </c>
      <c r="B20" s="6" t="s">
        <v>53</v>
      </c>
      <c r="C20" s="2" t="s">
        <v>42</v>
      </c>
      <c r="D20" s="2" t="s">
        <v>14</v>
      </c>
      <c r="E20" s="2" t="s">
        <v>19</v>
      </c>
      <c r="F20" s="2">
        <v>4</v>
      </c>
      <c r="G20" s="2">
        <v>128</v>
      </c>
      <c r="H20" s="2" t="str">
        <f>REPT("★", F20) &amp; REPT("☆", 5 - F20)</f>
        <v>★★★★☆</v>
      </c>
      <c r="I20" s="7">
        <v>43973</v>
      </c>
      <c r="J20" s="2" t="s">
        <v>54</v>
      </c>
    </row>
    <row r="21" spans="1:10">
      <c r="A21" s="6" t="s">
        <v>55</v>
      </c>
      <c r="B21" s="6" t="s">
        <v>56</v>
      </c>
      <c r="C21" s="2" t="s">
        <v>36</v>
      </c>
      <c r="D21" s="2" t="s">
        <v>14</v>
      </c>
      <c r="E21" s="2" t="s">
        <v>19</v>
      </c>
      <c r="F21" s="2">
        <v>1</v>
      </c>
      <c r="G21" s="2">
        <v>174</v>
      </c>
      <c r="H21" s="2" t="str">
        <f>REPT("★", F21) &amp; REPT("☆", 5 - F21)</f>
        <v>★☆☆☆☆</v>
      </c>
      <c r="I21" s="7">
        <v>44003</v>
      </c>
      <c r="J21" s="2" t="s">
        <v>54</v>
      </c>
    </row>
    <row r="22" spans="1:10" ht="30.75">
      <c r="A22" s="6" t="s">
        <v>57</v>
      </c>
      <c r="B22" s="6" t="s">
        <v>58</v>
      </c>
      <c r="C22" s="2" t="s">
        <v>59</v>
      </c>
      <c r="D22" s="2" t="s">
        <v>14</v>
      </c>
      <c r="E22" s="2" t="s">
        <v>19</v>
      </c>
      <c r="F22" s="2">
        <v>3.5</v>
      </c>
      <c r="G22" s="2">
        <v>295</v>
      </c>
      <c r="H22" s="2" t="str">
        <f>REPT("★", F22) &amp; REPT("☆", 5 - F22)</f>
        <v>★★★☆</v>
      </c>
      <c r="I22" s="7">
        <v>44014</v>
      </c>
      <c r="J22" s="2"/>
    </row>
    <row r="23" spans="1:10">
      <c r="A23" s="6" t="s">
        <v>60</v>
      </c>
      <c r="B23" s="6" t="s">
        <v>61</v>
      </c>
      <c r="C23" s="2"/>
      <c r="D23" s="2" t="s">
        <v>14</v>
      </c>
      <c r="E23" s="2" t="s">
        <v>19</v>
      </c>
      <c r="F23" s="2">
        <v>3.5</v>
      </c>
      <c r="G23" s="2">
        <v>288</v>
      </c>
      <c r="H23" s="2" t="str">
        <f>REPT("★", F23) &amp; REPT("☆", 5 - F23)</f>
        <v>★★★☆</v>
      </c>
      <c r="I23" s="7">
        <v>44108</v>
      </c>
      <c r="J23" s="2"/>
    </row>
    <row r="24" spans="1:10">
      <c r="A24" s="6" t="s">
        <v>62</v>
      </c>
      <c r="B24" s="6" t="s">
        <v>35</v>
      </c>
      <c r="C24" s="2" t="s">
        <v>63</v>
      </c>
      <c r="D24" s="2" t="s">
        <v>14</v>
      </c>
      <c r="E24" s="2" t="s">
        <v>19</v>
      </c>
      <c r="F24" s="2">
        <v>2.5</v>
      </c>
      <c r="G24" s="2">
        <v>432</v>
      </c>
      <c r="H24" s="2" t="str">
        <f>REPT("★", F24) &amp; REPT("☆", 5 - F24)</f>
        <v>★★☆☆</v>
      </c>
      <c r="I24" s="7">
        <v>44262</v>
      </c>
      <c r="J24" s="2"/>
    </row>
    <row r="25" spans="1:10">
      <c r="A25" s="6" t="s">
        <v>64</v>
      </c>
      <c r="B25" s="6" t="s">
        <v>65</v>
      </c>
      <c r="C25" s="2" t="s">
        <v>36</v>
      </c>
      <c r="D25" s="2" t="s">
        <v>14</v>
      </c>
      <c r="E25" s="2" t="s">
        <v>19</v>
      </c>
      <c r="F25" s="2">
        <v>4.5</v>
      </c>
      <c r="G25" s="2">
        <v>364</v>
      </c>
      <c r="H25" s="2" t="str">
        <f>REPT("★", F25) &amp; REPT("☆", 5 - F25)</f>
        <v>★★★★</v>
      </c>
      <c r="I25" s="7">
        <v>44286</v>
      </c>
      <c r="J25" s="2"/>
    </row>
    <row r="26" spans="1:10">
      <c r="A26" s="6" t="s">
        <v>66</v>
      </c>
      <c r="B26" s="6" t="s">
        <v>67</v>
      </c>
      <c r="C26" s="2" t="s">
        <v>13</v>
      </c>
      <c r="D26" s="2" t="s">
        <v>14</v>
      </c>
      <c r="E26" s="2" t="s">
        <v>19</v>
      </c>
      <c r="F26" s="2">
        <v>4.5</v>
      </c>
      <c r="G26" s="2">
        <v>288</v>
      </c>
      <c r="H26" s="2" t="str">
        <f>REPT("★", F26) &amp; REPT("☆", 5 - F26)</f>
        <v>★★★★</v>
      </c>
      <c r="I26" s="7">
        <v>44589</v>
      </c>
      <c r="J26" s="2"/>
    </row>
    <row r="27" spans="1:10">
      <c r="A27" s="6" t="s">
        <v>68</v>
      </c>
      <c r="B27" s="6" t="s">
        <v>69</v>
      </c>
      <c r="C27" s="2"/>
      <c r="D27" s="2" t="s">
        <v>14</v>
      </c>
      <c r="E27" s="2" t="s">
        <v>19</v>
      </c>
      <c r="F27" s="2">
        <v>1</v>
      </c>
      <c r="G27" s="2">
        <v>382</v>
      </c>
      <c r="H27" s="2" t="str">
        <f>REPT("★", F27) &amp; REPT("☆", 5 - F27)</f>
        <v>★☆☆☆☆</v>
      </c>
      <c r="I27" s="7">
        <v>44600</v>
      </c>
      <c r="J27" s="2"/>
    </row>
    <row r="28" spans="1:10">
      <c r="A28" s="6" t="s">
        <v>70</v>
      </c>
      <c r="B28" s="6" t="s">
        <v>71</v>
      </c>
      <c r="C28" s="2" t="s">
        <v>36</v>
      </c>
      <c r="D28" s="2" t="s">
        <v>14</v>
      </c>
      <c r="E28" s="2" t="s">
        <v>19</v>
      </c>
      <c r="F28" s="2">
        <v>2.5</v>
      </c>
      <c r="G28" s="2">
        <v>256</v>
      </c>
      <c r="H28" s="2" t="str">
        <f>REPT("★", F28) &amp; REPT("☆", 5 - F28)</f>
        <v>★★☆☆</v>
      </c>
      <c r="I28" s="7">
        <v>44632</v>
      </c>
      <c r="J28" s="2"/>
    </row>
    <row r="29" spans="1:10" ht="30.75">
      <c r="A29" s="6" t="s">
        <v>72</v>
      </c>
      <c r="B29" s="6" t="s">
        <v>73</v>
      </c>
      <c r="C29" s="2" t="s">
        <v>74</v>
      </c>
      <c r="D29" s="2" t="s">
        <v>14</v>
      </c>
      <c r="E29" s="2" t="s">
        <v>19</v>
      </c>
      <c r="F29" s="2"/>
      <c r="G29" s="2">
        <v>208</v>
      </c>
      <c r="H29" s="2" t="str">
        <f>REPT("★", F29) &amp; REPT("☆", 5 - F29)</f>
        <v>☆☆☆☆☆</v>
      </c>
      <c r="I29" s="7">
        <v>44765</v>
      </c>
      <c r="J29" s="2"/>
    </row>
    <row r="30" spans="1:10" ht="45.75">
      <c r="A30" s="6" t="s">
        <v>75</v>
      </c>
      <c r="B30" s="6" t="s">
        <v>76</v>
      </c>
      <c r="C30" s="2" t="s">
        <v>77</v>
      </c>
      <c r="D30" s="2" t="s">
        <v>14</v>
      </c>
      <c r="E30" s="2" t="s">
        <v>19</v>
      </c>
      <c r="F30" s="2">
        <v>2</v>
      </c>
      <c r="G30" s="2">
        <v>152</v>
      </c>
      <c r="H30" s="2" t="str">
        <f>REPT("★", F30) &amp; REPT("☆", 5 - F30)</f>
        <v>★★☆☆☆</v>
      </c>
      <c r="I30" s="7">
        <v>44821</v>
      </c>
      <c r="J30" s="2"/>
    </row>
    <row r="31" spans="1:10">
      <c r="A31" s="6" t="s">
        <v>78</v>
      </c>
      <c r="B31" s="6" t="s">
        <v>67</v>
      </c>
      <c r="C31" s="2" t="s">
        <v>36</v>
      </c>
      <c r="D31" s="2" t="s">
        <v>14</v>
      </c>
      <c r="E31" s="2" t="s">
        <v>19</v>
      </c>
      <c r="F31" s="2">
        <v>4.5</v>
      </c>
      <c r="G31" s="2">
        <v>229</v>
      </c>
      <c r="H31" s="2" t="str">
        <f>REPT("★", F31) &amp; REPT("☆", 5 - F31)</f>
        <v>★★★★</v>
      </c>
      <c r="I31" s="7">
        <v>44837</v>
      </c>
      <c r="J31" s="2"/>
    </row>
    <row r="32" spans="1:10">
      <c r="A32" s="6" t="s">
        <v>79</v>
      </c>
      <c r="B32" s="6" t="s">
        <v>80</v>
      </c>
      <c r="C32" s="2" t="s">
        <v>36</v>
      </c>
      <c r="D32" s="2" t="s">
        <v>14</v>
      </c>
      <c r="E32" s="2" t="s">
        <v>19</v>
      </c>
      <c r="F32" s="2">
        <v>4.5</v>
      </c>
      <c r="G32" s="2">
        <v>224</v>
      </c>
      <c r="H32" s="2" t="str">
        <f>REPT("★", F32) &amp; REPT("☆", 5 - F32)</f>
        <v>★★★★</v>
      </c>
      <c r="I32" s="7">
        <v>44838</v>
      </c>
      <c r="J32" s="2"/>
    </row>
    <row r="33" spans="1:10">
      <c r="A33" s="6" t="s">
        <v>81</v>
      </c>
      <c r="B33" s="6" t="s">
        <v>82</v>
      </c>
      <c r="C33" s="2" t="s">
        <v>83</v>
      </c>
      <c r="D33" s="2" t="s">
        <v>14</v>
      </c>
      <c r="E33" s="2" t="s">
        <v>15</v>
      </c>
      <c r="F33" s="2">
        <v>4.5</v>
      </c>
      <c r="G33" s="2">
        <v>867</v>
      </c>
      <c r="H33" s="2" t="str">
        <f>REPT("★", F33) &amp; REPT("☆", 5 - F33)</f>
        <v>★★★★</v>
      </c>
      <c r="I33" s="7">
        <v>44860</v>
      </c>
      <c r="J33" s="2"/>
    </row>
    <row r="34" spans="1:10" ht="30.75">
      <c r="A34" s="6" t="s">
        <v>84</v>
      </c>
      <c r="B34" s="6" t="s">
        <v>85</v>
      </c>
      <c r="C34" s="2" t="s">
        <v>36</v>
      </c>
      <c r="D34" s="2" t="s">
        <v>14</v>
      </c>
      <c r="E34" s="2" t="s">
        <v>15</v>
      </c>
      <c r="F34" s="2">
        <v>4.5</v>
      </c>
      <c r="G34" s="2">
        <v>220</v>
      </c>
      <c r="H34" s="2" t="str">
        <f>REPT("★", F34) &amp; REPT("☆", 5 - F34)</f>
        <v>★★★★</v>
      </c>
      <c r="I34" s="7">
        <v>44865</v>
      </c>
      <c r="J34" s="2"/>
    </row>
    <row r="35" spans="1:10" ht="30.75">
      <c r="A35" s="6" t="s">
        <v>86</v>
      </c>
      <c r="B35" s="6" t="s">
        <v>87</v>
      </c>
      <c r="C35" s="2" t="s">
        <v>83</v>
      </c>
      <c r="D35" s="2" t="s">
        <v>14</v>
      </c>
      <c r="E35" s="2" t="s">
        <v>15</v>
      </c>
      <c r="F35" s="2">
        <v>3.5</v>
      </c>
      <c r="G35" s="2">
        <v>170</v>
      </c>
      <c r="H35" s="2" t="str">
        <f>REPT("★", F35) &amp; REPT("☆", 5 - F35)</f>
        <v>★★★☆</v>
      </c>
      <c r="I35" s="7">
        <v>44866</v>
      </c>
      <c r="J35" s="2"/>
    </row>
    <row r="36" spans="1:10">
      <c r="A36" s="6" t="s">
        <v>88</v>
      </c>
      <c r="B36" s="6" t="s">
        <v>89</v>
      </c>
      <c r="C36" s="2" t="s">
        <v>13</v>
      </c>
      <c r="D36" s="2" t="s">
        <v>14</v>
      </c>
      <c r="E36" s="2" t="s">
        <v>15</v>
      </c>
      <c r="F36" s="2">
        <v>5</v>
      </c>
      <c r="G36" s="2">
        <v>300</v>
      </c>
      <c r="H36" s="2" t="str">
        <f>REPT("★", F36) &amp; REPT("☆", 5 - F36)</f>
        <v>★★★★★</v>
      </c>
      <c r="I36" s="7">
        <v>44866</v>
      </c>
      <c r="J36" s="2" t="s">
        <v>90</v>
      </c>
    </row>
    <row r="37" spans="1:10">
      <c r="A37" s="6" t="s">
        <v>91</v>
      </c>
      <c r="B37" s="6" t="s">
        <v>89</v>
      </c>
      <c r="C37" s="2" t="s">
        <v>83</v>
      </c>
      <c r="D37" s="2" t="s">
        <v>14</v>
      </c>
      <c r="E37" s="2" t="s">
        <v>15</v>
      </c>
      <c r="F37" s="2">
        <v>4</v>
      </c>
      <c r="G37" s="2">
        <v>150</v>
      </c>
      <c r="H37" s="2" t="str">
        <f>REPT("★", F37) &amp; REPT("☆", 5 - F37)</f>
        <v>★★★★☆</v>
      </c>
      <c r="I37" s="7">
        <v>44866</v>
      </c>
      <c r="J37" s="2"/>
    </row>
    <row r="38" spans="1:10" ht="30.75">
      <c r="A38" s="6" t="s">
        <v>92</v>
      </c>
      <c r="B38" s="6" t="s">
        <v>93</v>
      </c>
      <c r="C38" s="2" t="s">
        <v>83</v>
      </c>
      <c r="D38" s="2" t="s">
        <v>14</v>
      </c>
      <c r="E38" s="2" t="s">
        <v>15</v>
      </c>
      <c r="F38" s="2">
        <v>5</v>
      </c>
      <c r="G38" s="2">
        <v>600</v>
      </c>
      <c r="H38" s="2" t="str">
        <f>REPT("★", F38) &amp; REPT("☆", 5 - F38)</f>
        <v>★★★★★</v>
      </c>
      <c r="I38" s="7">
        <v>44875</v>
      </c>
      <c r="J38" s="2"/>
    </row>
    <row r="39" spans="1:10" ht="30.75">
      <c r="A39" s="6" t="s">
        <v>94</v>
      </c>
      <c r="B39" s="6" t="s">
        <v>95</v>
      </c>
      <c r="C39" s="2" t="s">
        <v>83</v>
      </c>
      <c r="D39" s="2" t="s">
        <v>14</v>
      </c>
      <c r="E39" s="2" t="s">
        <v>15</v>
      </c>
      <c r="F39" s="2">
        <v>4</v>
      </c>
      <c r="G39" s="2">
        <v>1026</v>
      </c>
      <c r="H39" s="2" t="str">
        <f>REPT("★", F39) &amp; REPT("☆", 5 - F39)</f>
        <v>★★★★☆</v>
      </c>
      <c r="I39" s="7">
        <v>44880</v>
      </c>
      <c r="J39" s="2"/>
    </row>
    <row r="40" spans="1:10">
      <c r="A40" s="6" t="s">
        <v>96</v>
      </c>
      <c r="B40" s="6" t="s">
        <v>97</v>
      </c>
      <c r="C40" s="2" t="s">
        <v>83</v>
      </c>
      <c r="D40" s="2" t="s">
        <v>14</v>
      </c>
      <c r="E40" s="2" t="s">
        <v>15</v>
      </c>
      <c r="F40" s="2">
        <v>3</v>
      </c>
      <c r="G40" s="2">
        <v>400</v>
      </c>
      <c r="H40" s="2" t="str">
        <f>REPT("★", F40) &amp; REPT("☆", 5 - F40)</f>
        <v>★★★☆☆</v>
      </c>
      <c r="I40" s="7">
        <v>44886</v>
      </c>
      <c r="J40" s="2"/>
    </row>
    <row r="41" spans="1:10" ht="30.75">
      <c r="A41" s="6" t="s">
        <v>98</v>
      </c>
      <c r="B41" s="6" t="s">
        <v>99</v>
      </c>
      <c r="C41" s="2" t="s">
        <v>36</v>
      </c>
      <c r="D41" s="2" t="s">
        <v>14</v>
      </c>
      <c r="E41" s="2" t="s">
        <v>15</v>
      </c>
      <c r="F41" s="2">
        <v>5</v>
      </c>
      <c r="G41" s="2">
        <v>500</v>
      </c>
      <c r="H41" s="2" t="str">
        <f>REPT("★", F41) &amp; REPT("☆", 5 - F41)</f>
        <v>★★★★★</v>
      </c>
      <c r="I41" s="7">
        <v>44900</v>
      </c>
      <c r="J41" s="2"/>
    </row>
    <row r="42" spans="1:10" ht="30.75">
      <c r="A42" s="6" t="s">
        <v>100</v>
      </c>
      <c r="B42" s="6" t="s">
        <v>101</v>
      </c>
      <c r="C42" s="2" t="s">
        <v>18</v>
      </c>
      <c r="D42" s="2" t="s">
        <v>14</v>
      </c>
      <c r="E42" s="2" t="s">
        <v>19</v>
      </c>
      <c r="F42" s="2">
        <v>4.5</v>
      </c>
      <c r="G42" s="2">
        <v>190</v>
      </c>
      <c r="H42" s="2" t="str">
        <f>REPT("★", F42) &amp; REPT("☆", 5 - F42)</f>
        <v>★★★★</v>
      </c>
      <c r="I42" s="7">
        <v>44906</v>
      </c>
      <c r="J42" s="2"/>
    </row>
    <row r="43" spans="1:10">
      <c r="A43" s="6" t="s">
        <v>102</v>
      </c>
      <c r="B43" s="6" t="s">
        <v>35</v>
      </c>
      <c r="C43" s="2" t="s">
        <v>63</v>
      </c>
      <c r="D43" s="2" t="s">
        <v>14</v>
      </c>
      <c r="E43" s="2" t="s">
        <v>19</v>
      </c>
      <c r="F43" s="2">
        <v>2.5</v>
      </c>
      <c r="G43" s="2">
        <v>464</v>
      </c>
      <c r="H43" s="2" t="str">
        <f>REPT("★", F43) &amp; REPT("☆", 5 - F43)</f>
        <v>★★☆☆</v>
      </c>
      <c r="I43" s="7">
        <v>44946</v>
      </c>
      <c r="J43" s="2"/>
    </row>
    <row r="44" spans="1:10">
      <c r="A44" s="6" t="s">
        <v>103</v>
      </c>
      <c r="B44" s="6"/>
      <c r="C44" s="2"/>
      <c r="D44" s="2" t="s">
        <v>14</v>
      </c>
      <c r="E44" s="2" t="s">
        <v>15</v>
      </c>
      <c r="F44" s="2">
        <v>5</v>
      </c>
      <c r="G44" s="2"/>
      <c r="H44" s="2" t="str">
        <f>REPT("★", F44) &amp; REPT("☆", 5 - F44)</f>
        <v>★★★★★</v>
      </c>
      <c r="I44" s="7">
        <v>44970</v>
      </c>
      <c r="J44" s="2"/>
    </row>
    <row r="45" spans="1:10">
      <c r="A45" s="6" t="s">
        <v>104</v>
      </c>
      <c r="B45" s="6" t="s">
        <v>38</v>
      </c>
      <c r="C45" s="2" t="s">
        <v>36</v>
      </c>
      <c r="D45" s="2" t="s">
        <v>14</v>
      </c>
      <c r="E45" s="2" t="s">
        <v>19</v>
      </c>
      <c r="F45" s="2">
        <v>3.5</v>
      </c>
      <c r="G45" s="2">
        <v>235</v>
      </c>
      <c r="H45" s="2" t="str">
        <f>REPT("★", F45) &amp; REPT("☆", 5 - F45)</f>
        <v>★★★☆</v>
      </c>
      <c r="I45" s="7">
        <v>44974</v>
      </c>
      <c r="J45" s="2"/>
    </row>
    <row r="46" spans="1:10">
      <c r="A46" s="6" t="s">
        <v>105</v>
      </c>
      <c r="B46" s="6" t="s">
        <v>106</v>
      </c>
      <c r="C46" s="2" t="s">
        <v>42</v>
      </c>
      <c r="D46" s="2" t="s">
        <v>14</v>
      </c>
      <c r="E46" s="2" t="s">
        <v>15</v>
      </c>
      <c r="F46" s="2">
        <v>3.5</v>
      </c>
      <c r="G46" s="2">
        <v>272</v>
      </c>
      <c r="H46" s="2" t="str">
        <f>REPT("★", F46) &amp; REPT("☆", 5 - F46)</f>
        <v>★★★☆</v>
      </c>
      <c r="I46" s="7">
        <v>44982</v>
      </c>
      <c r="J46" s="2"/>
    </row>
    <row r="47" spans="1:10">
      <c r="A47" s="6" t="s">
        <v>107</v>
      </c>
      <c r="B47" s="6" t="s">
        <v>108</v>
      </c>
      <c r="C47" s="2" t="s">
        <v>18</v>
      </c>
      <c r="D47" s="2" t="s">
        <v>14</v>
      </c>
      <c r="E47" s="2" t="s">
        <v>19</v>
      </c>
      <c r="F47" s="2">
        <v>4.5</v>
      </c>
      <c r="G47" s="2">
        <v>208</v>
      </c>
      <c r="H47" s="2" t="str">
        <f>REPT("★", F47) &amp; REPT("☆", 5 - F47)</f>
        <v>★★★★</v>
      </c>
      <c r="I47" s="7">
        <v>45021</v>
      </c>
      <c r="J47" s="2"/>
    </row>
    <row r="48" spans="1:10">
      <c r="A48" s="6" t="s">
        <v>109</v>
      </c>
      <c r="B48" s="6" t="s">
        <v>110</v>
      </c>
      <c r="C48" s="2" t="s">
        <v>83</v>
      </c>
      <c r="D48" s="2" t="s">
        <v>14</v>
      </c>
      <c r="E48" s="2" t="s">
        <v>15</v>
      </c>
      <c r="F48" s="2">
        <v>3.5</v>
      </c>
      <c r="G48" s="2">
        <v>250</v>
      </c>
      <c r="H48" s="2" t="str">
        <f>REPT("★", F48) &amp; REPT("☆", 5 - F48)</f>
        <v>★★★☆</v>
      </c>
      <c r="I48" s="7">
        <v>45033</v>
      </c>
      <c r="J48" s="2"/>
    </row>
    <row r="49" spans="1:10">
      <c r="A49" s="6" t="s">
        <v>111</v>
      </c>
      <c r="B49" s="6"/>
      <c r="C49" s="2"/>
      <c r="D49" s="2" t="s">
        <v>14</v>
      </c>
      <c r="E49" s="2" t="s">
        <v>15</v>
      </c>
      <c r="F49" s="2">
        <v>2.5</v>
      </c>
      <c r="G49" s="2"/>
      <c r="H49" s="2" t="str">
        <f>REPT("★", F49) &amp; REPT("☆", 5 - F49)</f>
        <v>★★☆☆</v>
      </c>
      <c r="I49" s="7">
        <v>45039</v>
      </c>
      <c r="J49" s="2"/>
    </row>
    <row r="50" spans="1:10">
      <c r="A50" s="6" t="s">
        <v>112</v>
      </c>
      <c r="B50" s="6"/>
      <c r="C50" s="2"/>
      <c r="D50" s="2" t="s">
        <v>14</v>
      </c>
      <c r="E50" s="2" t="s">
        <v>15</v>
      </c>
      <c r="F50" s="2">
        <v>4.5</v>
      </c>
      <c r="G50" s="2"/>
      <c r="H50" s="2" t="str">
        <f>REPT("★", F50) &amp; REPT("☆", 5 - F50)</f>
        <v>★★★★</v>
      </c>
      <c r="I50" s="7">
        <v>45040</v>
      </c>
      <c r="J50" s="2"/>
    </row>
    <row r="51" spans="1:10">
      <c r="A51" s="6" t="s">
        <v>113</v>
      </c>
      <c r="B51" s="6"/>
      <c r="C51" s="2"/>
      <c r="D51" s="2" t="s">
        <v>14</v>
      </c>
      <c r="E51" s="2" t="s">
        <v>15</v>
      </c>
      <c r="F51" s="2">
        <v>3</v>
      </c>
      <c r="G51" s="2"/>
      <c r="H51" s="2" t="str">
        <f>REPT("★", F51) &amp; REPT("☆", 5 - F51)</f>
        <v>★★★☆☆</v>
      </c>
      <c r="I51" s="7">
        <v>45045</v>
      </c>
      <c r="J51" s="2"/>
    </row>
    <row r="52" spans="1:10">
      <c r="A52" s="6" t="s">
        <v>114</v>
      </c>
      <c r="B52" s="6"/>
      <c r="C52" s="2"/>
      <c r="D52" s="2" t="s">
        <v>14</v>
      </c>
      <c r="E52" s="2" t="s">
        <v>15</v>
      </c>
      <c r="F52" s="2">
        <v>2.5</v>
      </c>
      <c r="G52" s="2"/>
      <c r="H52" s="2" t="str">
        <f>REPT("★", F52) &amp; REPT("☆", 5 - F52)</f>
        <v>★★☆☆</v>
      </c>
      <c r="I52" s="7">
        <v>45053</v>
      </c>
      <c r="J52" s="2"/>
    </row>
    <row r="53" spans="1:10">
      <c r="A53" s="6" t="s">
        <v>115</v>
      </c>
      <c r="B53" s="6"/>
      <c r="C53" s="2"/>
      <c r="D53" s="2" t="s">
        <v>14</v>
      </c>
      <c r="E53" s="2" t="s">
        <v>15</v>
      </c>
      <c r="F53" s="2">
        <v>3.5</v>
      </c>
      <c r="G53" s="2"/>
      <c r="H53" s="2" t="str">
        <f>REPT("★", F53) &amp; REPT("☆", 5 - F53)</f>
        <v>★★★☆</v>
      </c>
      <c r="I53" s="7">
        <v>45055</v>
      </c>
      <c r="J53" s="2"/>
    </row>
    <row r="54" spans="1:10" ht="30.75">
      <c r="A54" s="6" t="s">
        <v>116</v>
      </c>
      <c r="B54" s="6"/>
      <c r="C54" s="2"/>
      <c r="D54" s="2" t="s">
        <v>14</v>
      </c>
      <c r="E54" s="2" t="s">
        <v>15</v>
      </c>
      <c r="F54" s="2">
        <v>2.5</v>
      </c>
      <c r="G54" s="2"/>
      <c r="H54" s="2" t="str">
        <f>REPT("★", F54) &amp; REPT("☆", 5 - F54)</f>
        <v>★★☆☆</v>
      </c>
      <c r="I54" s="7">
        <v>45056</v>
      </c>
      <c r="J54" s="2"/>
    </row>
    <row r="55" spans="1:10">
      <c r="A55" s="6" t="s">
        <v>117</v>
      </c>
      <c r="B55" s="6" t="s">
        <v>97</v>
      </c>
      <c r="C55" s="2" t="s">
        <v>83</v>
      </c>
      <c r="D55" s="2" t="s">
        <v>14</v>
      </c>
      <c r="E55" s="2" t="s">
        <v>15</v>
      </c>
      <c r="F55" s="2">
        <v>3.5</v>
      </c>
      <c r="G55" s="2">
        <v>2500</v>
      </c>
      <c r="H55" s="2" t="str">
        <f>REPT("★", F55) &amp; REPT("☆", 5 - F55)</f>
        <v>★★★☆</v>
      </c>
      <c r="I55" s="7">
        <v>45057</v>
      </c>
      <c r="J55" s="2"/>
    </row>
    <row r="56" spans="1:10">
      <c r="A56" s="6" t="s">
        <v>118</v>
      </c>
      <c r="B56" s="6"/>
      <c r="C56" s="2"/>
      <c r="D56" s="2" t="s">
        <v>14</v>
      </c>
      <c r="E56" s="2" t="s">
        <v>15</v>
      </c>
      <c r="F56" s="2">
        <v>4.5</v>
      </c>
      <c r="G56" s="2"/>
      <c r="H56" s="2" t="str">
        <f>REPT("★", F56) &amp; REPT("☆", 5 - F56)</f>
        <v>★★★★</v>
      </c>
      <c r="I56" s="7">
        <v>45059</v>
      </c>
      <c r="J56" s="2"/>
    </row>
    <row r="57" spans="1:10">
      <c r="A57" s="6" t="s">
        <v>119</v>
      </c>
      <c r="B57" s="6"/>
      <c r="C57" s="2"/>
      <c r="D57" s="2" t="s">
        <v>14</v>
      </c>
      <c r="E57" s="2" t="s">
        <v>15</v>
      </c>
      <c r="F57" s="2">
        <v>3</v>
      </c>
      <c r="G57" s="2"/>
      <c r="H57" s="2" t="str">
        <f>REPT("★", F57) &amp; REPT("☆", 5 - F57)</f>
        <v>★★★☆☆</v>
      </c>
      <c r="I57" s="7">
        <v>45060</v>
      </c>
      <c r="J57" s="2"/>
    </row>
    <row r="58" spans="1:10" ht="30.75">
      <c r="A58" s="6" t="s">
        <v>120</v>
      </c>
      <c r="B58" s="6"/>
      <c r="C58" s="2"/>
      <c r="D58" s="2" t="s">
        <v>14</v>
      </c>
      <c r="E58" s="2" t="s">
        <v>15</v>
      </c>
      <c r="F58" s="2">
        <v>3</v>
      </c>
      <c r="G58" s="2"/>
      <c r="H58" s="2" t="str">
        <f>REPT("★", F58) &amp; REPT("☆", 5 - F58)</f>
        <v>★★★☆☆</v>
      </c>
      <c r="I58" s="7">
        <v>45061</v>
      </c>
      <c r="J58" s="2"/>
    </row>
    <row r="59" spans="1:10" ht="30.75">
      <c r="A59" s="6" t="s">
        <v>121</v>
      </c>
      <c r="B59" s="6" t="s">
        <v>122</v>
      </c>
      <c r="C59" s="2" t="s">
        <v>36</v>
      </c>
      <c r="D59" s="2" t="s">
        <v>14</v>
      </c>
      <c r="E59" s="2" t="s">
        <v>19</v>
      </c>
      <c r="F59" s="2">
        <v>5</v>
      </c>
      <c r="G59" s="2">
        <v>320</v>
      </c>
      <c r="H59" s="2" t="str">
        <f>REPT("★", F59) &amp; REPT("☆", 5 - F59)</f>
        <v>★★★★★</v>
      </c>
      <c r="I59" s="7">
        <v>45080</v>
      </c>
      <c r="J59" s="2" t="s">
        <v>123</v>
      </c>
    </row>
    <row r="60" spans="1:10">
      <c r="A60" s="6" t="s">
        <v>124</v>
      </c>
      <c r="B60" s="6" t="s">
        <v>125</v>
      </c>
      <c r="C60" s="2"/>
      <c r="D60" s="2" t="s">
        <v>14</v>
      </c>
      <c r="E60" s="2" t="s">
        <v>19</v>
      </c>
      <c r="F60" s="2">
        <v>3</v>
      </c>
      <c r="G60" s="2">
        <v>144</v>
      </c>
      <c r="H60" s="2" t="str">
        <f>REPT("★", F60) &amp; REPT("☆", 5 - F60)</f>
        <v>★★★☆☆</v>
      </c>
      <c r="I60" s="7">
        <v>45091</v>
      </c>
      <c r="J60" s="2" t="s">
        <v>126</v>
      </c>
    </row>
    <row r="61" spans="1:10">
      <c r="A61" s="6" t="s">
        <v>127</v>
      </c>
      <c r="B61" s="6" t="s">
        <v>128</v>
      </c>
      <c r="C61" s="2" t="s">
        <v>18</v>
      </c>
      <c r="D61" s="2" t="s">
        <v>14</v>
      </c>
      <c r="E61" s="2" t="s">
        <v>19</v>
      </c>
      <c r="F61" s="2">
        <v>4.5</v>
      </c>
      <c r="G61" s="2">
        <v>224</v>
      </c>
      <c r="H61" s="2" t="str">
        <f>REPT("★", F61) &amp; REPT("☆", 5 - F61)</f>
        <v>★★★★</v>
      </c>
      <c r="I61" s="7">
        <v>45093</v>
      </c>
      <c r="J61" s="2" t="s">
        <v>129</v>
      </c>
    </row>
    <row r="62" spans="1:10">
      <c r="A62" s="6" t="s">
        <v>130</v>
      </c>
      <c r="B62" s="6"/>
      <c r="C62" s="2"/>
      <c r="D62" s="2" t="s">
        <v>14</v>
      </c>
      <c r="E62" s="2" t="s">
        <v>15</v>
      </c>
      <c r="F62" s="2">
        <v>5</v>
      </c>
      <c r="G62" s="2"/>
      <c r="H62" s="2" t="str">
        <f>REPT("★", F62) &amp; REPT("☆", 5 - F62)</f>
        <v>★★★★★</v>
      </c>
      <c r="I62" s="7">
        <v>45153</v>
      </c>
      <c r="J62" s="2"/>
    </row>
    <row r="63" spans="1:10">
      <c r="A63" s="6" t="s">
        <v>131</v>
      </c>
      <c r="B63" s="6"/>
      <c r="C63" s="2"/>
      <c r="D63" s="2" t="s">
        <v>14</v>
      </c>
      <c r="E63" s="2" t="s">
        <v>15</v>
      </c>
      <c r="F63" s="2"/>
      <c r="G63" s="2"/>
      <c r="H63" s="2" t="str">
        <f>REPT("★", F63) &amp; REPT("☆", 5 - F63)</f>
        <v>☆☆☆☆☆</v>
      </c>
      <c r="I63" s="7">
        <v>45161</v>
      </c>
      <c r="J63" s="2"/>
    </row>
    <row r="64" spans="1:10">
      <c r="A64" s="6" t="s">
        <v>132</v>
      </c>
      <c r="B64" s="6" t="s">
        <v>133</v>
      </c>
      <c r="C64" s="2" t="s">
        <v>29</v>
      </c>
      <c r="D64" s="2" t="s">
        <v>14</v>
      </c>
      <c r="E64" s="2" t="s">
        <v>15</v>
      </c>
      <c r="F64" s="2">
        <v>3</v>
      </c>
      <c r="G64" s="2">
        <v>1150</v>
      </c>
      <c r="H64" s="2" t="str">
        <f>REPT("★", F64) &amp; REPT("☆", 5 - F64)</f>
        <v>★★★☆☆</v>
      </c>
      <c r="I64" s="7">
        <v>45208</v>
      </c>
      <c r="J64" s="2"/>
    </row>
    <row r="65" spans="1:10">
      <c r="A65" s="6" t="s">
        <v>134</v>
      </c>
      <c r="B65" s="6"/>
      <c r="C65" s="2"/>
      <c r="D65" s="2" t="s">
        <v>14</v>
      </c>
      <c r="E65" s="2" t="s">
        <v>15</v>
      </c>
      <c r="F65" s="2">
        <v>2.5</v>
      </c>
      <c r="G65" s="2"/>
      <c r="H65" s="2" t="str">
        <f>REPT("★", F65) &amp; REPT("☆", 5 - F65)</f>
        <v>★★☆☆</v>
      </c>
      <c r="I65" s="7">
        <v>45211</v>
      </c>
      <c r="J65" s="2"/>
    </row>
    <row r="66" spans="1:10">
      <c r="A66" s="6" t="s">
        <v>135</v>
      </c>
      <c r="B66" s="6"/>
      <c r="C66" s="2"/>
      <c r="D66" s="2" t="s">
        <v>14</v>
      </c>
      <c r="E66" s="2" t="s">
        <v>15</v>
      </c>
      <c r="F66" s="2">
        <v>3.5</v>
      </c>
      <c r="G66" s="2"/>
      <c r="H66" s="2" t="str">
        <f>REPT("★", F66) &amp; REPT("☆", 5 - F66)</f>
        <v>★★★☆</v>
      </c>
      <c r="I66" s="7">
        <v>45211</v>
      </c>
      <c r="J66" s="2"/>
    </row>
    <row r="67" spans="1:10" ht="30.75">
      <c r="A67" s="6" t="s">
        <v>136</v>
      </c>
      <c r="B67" s="6" t="s">
        <v>73</v>
      </c>
      <c r="C67" s="2" t="s">
        <v>74</v>
      </c>
      <c r="D67" s="2" t="s">
        <v>14</v>
      </c>
      <c r="E67" s="2" t="s">
        <v>19</v>
      </c>
      <c r="F67" s="2">
        <v>3</v>
      </c>
      <c r="G67" s="2">
        <v>208</v>
      </c>
      <c r="H67" s="2" t="str">
        <f>REPT("★", F67) &amp; REPT("☆", 5 - F67)</f>
        <v>★★★☆☆</v>
      </c>
      <c r="I67" s="7">
        <v>45219</v>
      </c>
      <c r="J67" s="2" t="s">
        <v>137</v>
      </c>
    </row>
    <row r="68" spans="1:10" ht="30.75">
      <c r="A68" s="6" t="s">
        <v>138</v>
      </c>
      <c r="B68" s="6"/>
      <c r="C68" s="2"/>
      <c r="D68" s="2" t="s">
        <v>14</v>
      </c>
      <c r="E68" s="2" t="s">
        <v>15</v>
      </c>
      <c r="F68" s="2">
        <v>4</v>
      </c>
      <c r="G68" s="2"/>
      <c r="H68" s="2" t="str">
        <f>REPT("★", F68) &amp; REPT("☆", 5 - F68)</f>
        <v>★★★★☆</v>
      </c>
      <c r="I68" s="7">
        <v>45251</v>
      </c>
      <c r="J68" s="2"/>
    </row>
    <row r="69" spans="1:10">
      <c r="A69" s="6" t="s">
        <v>139</v>
      </c>
      <c r="B69" s="6" t="s">
        <v>140</v>
      </c>
      <c r="C69" s="2" t="s">
        <v>83</v>
      </c>
      <c r="D69" s="2" t="s">
        <v>14</v>
      </c>
      <c r="E69" s="2" t="s">
        <v>15</v>
      </c>
      <c r="F69" s="2">
        <v>4</v>
      </c>
      <c r="G69" s="2">
        <v>1600</v>
      </c>
      <c r="H69" s="2" t="str">
        <f>REPT("★", F69) &amp; REPT("☆", 5 - F69)</f>
        <v>★★★★☆</v>
      </c>
      <c r="I69" s="7">
        <v>45276</v>
      </c>
      <c r="J69" s="2"/>
    </row>
    <row r="70" spans="1:10">
      <c r="A70" s="6" t="s">
        <v>141</v>
      </c>
      <c r="B70" s="6"/>
      <c r="C70" s="2"/>
      <c r="D70" s="2" t="s">
        <v>14</v>
      </c>
      <c r="E70" s="2" t="s">
        <v>15</v>
      </c>
      <c r="F70" s="2">
        <v>4</v>
      </c>
      <c r="G70" s="2"/>
      <c r="H70" s="2" t="str">
        <f>REPT("★", F70) &amp; REPT("☆", 5 - F70)</f>
        <v>★★★★☆</v>
      </c>
      <c r="I70" s="7">
        <v>45300</v>
      </c>
      <c r="J70" s="2"/>
    </row>
    <row r="71" spans="1:10">
      <c r="A71" s="6" t="s">
        <v>142</v>
      </c>
      <c r="B71" s="6" t="s">
        <v>65</v>
      </c>
      <c r="C71" s="2" t="s">
        <v>36</v>
      </c>
      <c r="D71" s="2" t="s">
        <v>14</v>
      </c>
      <c r="E71" s="2" t="s">
        <v>19</v>
      </c>
      <c r="F71" s="2">
        <v>2</v>
      </c>
      <c r="G71" s="2">
        <v>462</v>
      </c>
      <c r="H71" s="2" t="str">
        <f>REPT("★", F71) &amp; REPT("☆", 5 - F71)</f>
        <v>★★☆☆☆</v>
      </c>
      <c r="I71" s="7">
        <v>45321</v>
      </c>
      <c r="J71" s="2" t="s">
        <v>143</v>
      </c>
    </row>
    <row r="72" spans="1:10">
      <c r="A72" s="6" t="s">
        <v>144</v>
      </c>
      <c r="B72" s="6"/>
      <c r="C72" s="2"/>
      <c r="D72" s="2" t="s">
        <v>14</v>
      </c>
      <c r="E72" s="2" t="s">
        <v>15</v>
      </c>
      <c r="F72" s="2"/>
      <c r="G72" s="2"/>
      <c r="H72" s="2" t="str">
        <f>REPT("★", F72) &amp; REPT("☆", 5 - F72)</f>
        <v>☆☆☆☆☆</v>
      </c>
      <c r="I72" s="7">
        <v>45412</v>
      </c>
      <c r="J72" s="2"/>
    </row>
    <row r="73" spans="1:10">
      <c r="A73" s="6" t="s">
        <v>145</v>
      </c>
      <c r="B73" s="6"/>
      <c r="C73" s="2"/>
      <c r="D73" s="2" t="s">
        <v>14</v>
      </c>
      <c r="E73" s="2" t="s">
        <v>15</v>
      </c>
      <c r="F73" s="2">
        <v>5</v>
      </c>
      <c r="G73" s="2"/>
      <c r="H73" s="2" t="str">
        <f>REPT("★", F73) &amp; REPT("☆", 5 - F73)</f>
        <v>★★★★★</v>
      </c>
      <c r="I73" s="7">
        <v>45460</v>
      </c>
      <c r="J73" s="2"/>
    </row>
    <row r="74" spans="1:10">
      <c r="A74" s="6" t="s">
        <v>146</v>
      </c>
      <c r="B74" s="6"/>
      <c r="C74" s="2"/>
      <c r="D74" s="2" t="s">
        <v>14</v>
      </c>
      <c r="E74" s="2" t="s">
        <v>15</v>
      </c>
      <c r="F74" s="2">
        <v>4.5</v>
      </c>
      <c r="G74" s="2"/>
      <c r="H74" s="2" t="str">
        <f>REPT("★", F74) &amp; REPT("☆", 5 - F74)</f>
        <v>★★★★</v>
      </c>
      <c r="I74" s="7">
        <v>45466</v>
      </c>
      <c r="J74" s="2"/>
    </row>
    <row r="75" spans="1:10">
      <c r="A75" s="6" t="s">
        <v>147</v>
      </c>
      <c r="B75" s="6"/>
      <c r="C75" s="2"/>
      <c r="D75" s="2" t="s">
        <v>14</v>
      </c>
      <c r="E75" s="2" t="s">
        <v>15</v>
      </c>
      <c r="F75" s="2">
        <v>3.5</v>
      </c>
      <c r="G75" s="2"/>
      <c r="H75" s="2" t="str">
        <f>REPT("★", F75) &amp; REPT("☆", 5 - F75)</f>
        <v>★★★☆</v>
      </c>
      <c r="I75" s="7">
        <v>45468</v>
      </c>
      <c r="J75" s="2"/>
    </row>
    <row r="76" spans="1:10" ht="30.75">
      <c r="A76" s="6" t="s">
        <v>84</v>
      </c>
      <c r="B76" s="6"/>
      <c r="C76" s="2"/>
      <c r="D76" s="2" t="s">
        <v>14</v>
      </c>
      <c r="E76" s="2" t="s">
        <v>15</v>
      </c>
      <c r="F76" s="2">
        <v>4</v>
      </c>
      <c r="G76" s="2"/>
      <c r="H76" s="2" t="str">
        <f>REPT("★", F76) &amp; REPT("☆", 5 - F76)</f>
        <v>★★★★☆</v>
      </c>
      <c r="I76" s="7">
        <v>45474</v>
      </c>
      <c r="J76" s="2"/>
    </row>
    <row r="77" spans="1:10">
      <c r="A77" s="6" t="s">
        <v>148</v>
      </c>
      <c r="B77" s="6"/>
      <c r="C77" s="2"/>
      <c r="D77" s="2" t="s">
        <v>14</v>
      </c>
      <c r="E77" s="2" t="s">
        <v>15</v>
      </c>
      <c r="F77" s="2">
        <v>3.5</v>
      </c>
      <c r="G77" s="2"/>
      <c r="H77" s="2" t="str">
        <f>REPT("★", F77) &amp; REPT("☆", 5 - F77)</f>
        <v>★★★☆</v>
      </c>
      <c r="I77" s="7">
        <v>45474</v>
      </c>
      <c r="J77" s="2"/>
    </row>
    <row r="78" spans="1:10">
      <c r="A78" s="6" t="s">
        <v>149</v>
      </c>
      <c r="B78" s="6"/>
      <c r="C78" s="2"/>
      <c r="D78" s="2" t="s">
        <v>14</v>
      </c>
      <c r="E78" s="2" t="s">
        <v>15</v>
      </c>
      <c r="F78" s="2">
        <v>4.5</v>
      </c>
      <c r="G78" s="2"/>
      <c r="H78" s="2" t="str">
        <f>REPT("★", F78) &amp; REPT("☆", 5 - F78)</f>
        <v>★★★★</v>
      </c>
      <c r="I78" s="7">
        <v>45478</v>
      </c>
      <c r="J78" s="2"/>
    </row>
    <row r="79" spans="1:10">
      <c r="A79" s="6" t="s">
        <v>150</v>
      </c>
      <c r="B79" s="6"/>
      <c r="C79" s="2"/>
      <c r="D79" s="2" t="s">
        <v>14</v>
      </c>
      <c r="E79" s="2" t="s">
        <v>15</v>
      </c>
      <c r="F79" s="2">
        <v>3.5</v>
      </c>
      <c r="G79" s="2"/>
      <c r="H79" s="2" t="str">
        <f>REPT("★", F79) &amp; REPT("☆", 5 - F79)</f>
        <v>★★★☆</v>
      </c>
      <c r="I79" s="7">
        <v>45482</v>
      </c>
      <c r="J79" s="2"/>
    </row>
    <row r="80" spans="1:10">
      <c r="A80" s="6" t="s">
        <v>151</v>
      </c>
      <c r="B80" s="6"/>
      <c r="C80" s="2"/>
      <c r="D80" s="2" t="s">
        <v>14</v>
      </c>
      <c r="E80" s="2" t="s">
        <v>15</v>
      </c>
      <c r="F80" s="2">
        <v>4</v>
      </c>
      <c r="G80" s="2"/>
      <c r="H80" s="2" t="str">
        <f>REPT("★", F80) &amp; REPT("☆", 5 - F80)</f>
        <v>★★★★☆</v>
      </c>
      <c r="I80" s="7">
        <v>45487</v>
      </c>
      <c r="J80" s="2"/>
    </row>
    <row r="81" spans="1:10">
      <c r="A81" s="6" t="s">
        <v>152</v>
      </c>
      <c r="B81" s="6"/>
      <c r="C81" s="2"/>
      <c r="D81" s="2" t="s">
        <v>14</v>
      </c>
      <c r="E81" s="2" t="s">
        <v>15</v>
      </c>
      <c r="F81" s="2"/>
      <c r="G81" s="2"/>
      <c r="H81" s="2" t="str">
        <f>REPT("★", F81) &amp; REPT("☆", 5 - F81)</f>
        <v>☆☆☆☆☆</v>
      </c>
      <c r="I81" s="7">
        <v>45489</v>
      </c>
      <c r="J81" s="2"/>
    </row>
    <row r="82" spans="1:10">
      <c r="A82" s="6" t="s">
        <v>153</v>
      </c>
      <c r="B82" s="6"/>
      <c r="C82" s="2"/>
      <c r="D82" s="2" t="s">
        <v>14</v>
      </c>
      <c r="E82" s="2" t="s">
        <v>15</v>
      </c>
      <c r="F82" s="2">
        <v>5</v>
      </c>
      <c r="G82" s="2"/>
      <c r="H82" s="2" t="str">
        <f>REPT("★", F82) &amp; REPT("☆", 5 - F82)</f>
        <v>★★★★★</v>
      </c>
      <c r="I82" s="7">
        <v>45491</v>
      </c>
      <c r="J82" s="2"/>
    </row>
    <row r="83" spans="1:10" ht="30.75">
      <c r="A83" s="6" t="s">
        <v>154</v>
      </c>
      <c r="B83" s="6"/>
      <c r="C83" s="2"/>
      <c r="D83" s="2" t="s">
        <v>14</v>
      </c>
      <c r="E83" s="2" t="s">
        <v>15</v>
      </c>
      <c r="F83" s="2">
        <v>3.5</v>
      </c>
      <c r="G83" s="2"/>
      <c r="H83" s="2" t="str">
        <f>REPT("★", F83) &amp; REPT("☆", 5 - F83)</f>
        <v>★★★☆</v>
      </c>
      <c r="I83" s="7">
        <v>45493</v>
      </c>
      <c r="J83" s="2"/>
    </row>
    <row r="84" spans="1:10">
      <c r="A84" s="6" t="s">
        <v>37</v>
      </c>
      <c r="B84" s="6" t="s">
        <v>38</v>
      </c>
      <c r="C84" s="2" t="s">
        <v>29</v>
      </c>
      <c r="D84" s="2" t="s">
        <v>14</v>
      </c>
      <c r="E84" s="2" t="s">
        <v>19</v>
      </c>
      <c r="F84" s="2">
        <v>5</v>
      </c>
      <c r="G84" s="2">
        <v>368</v>
      </c>
      <c r="H84" s="2" t="str">
        <f>REPT("★", F84) &amp; REPT("☆", 5 - F84)</f>
        <v>★★★★★</v>
      </c>
      <c r="I84" s="7">
        <v>45494</v>
      </c>
      <c r="J84" s="2" t="s">
        <v>155</v>
      </c>
    </row>
    <row r="85" spans="1:10" ht="30.75">
      <c r="A85" s="6" t="s">
        <v>156</v>
      </c>
      <c r="B85" s="6"/>
      <c r="C85" s="2"/>
      <c r="D85" s="2" t="s">
        <v>14</v>
      </c>
      <c r="E85" s="2" t="s">
        <v>15</v>
      </c>
      <c r="F85" s="2">
        <v>3</v>
      </c>
      <c r="G85" s="2"/>
      <c r="H85" s="2" t="str">
        <f>REPT("★", F85) &amp; REPT("☆", 5 - F85)</f>
        <v>★★★☆☆</v>
      </c>
      <c r="I85" s="7">
        <v>45496</v>
      </c>
      <c r="J85" s="2"/>
    </row>
    <row r="86" spans="1:10">
      <c r="A86" s="6" t="s">
        <v>139</v>
      </c>
      <c r="B86" s="6"/>
      <c r="C86" s="2"/>
      <c r="D86" s="2" t="s">
        <v>14</v>
      </c>
      <c r="E86" s="2" t="s">
        <v>15</v>
      </c>
      <c r="F86" s="2"/>
      <c r="G86" s="2"/>
      <c r="H86" s="2" t="str">
        <f>REPT("★", F86) &amp; REPT("☆", 5 - F86)</f>
        <v>☆☆☆☆☆</v>
      </c>
      <c r="I86" s="7">
        <v>45497</v>
      </c>
      <c r="J86" s="2"/>
    </row>
    <row r="87" spans="1:10">
      <c r="A87" s="6" t="s">
        <v>157</v>
      </c>
      <c r="B87" s="6"/>
      <c r="C87" s="2"/>
      <c r="D87" s="2" t="s">
        <v>14</v>
      </c>
      <c r="E87" s="2" t="s">
        <v>15</v>
      </c>
      <c r="F87" s="2">
        <v>4.5</v>
      </c>
      <c r="G87" s="2"/>
      <c r="H87" s="2" t="str">
        <f>REPT("★", F87) &amp; REPT("☆", 5 - F87)</f>
        <v>★★★★</v>
      </c>
      <c r="I87" s="7">
        <v>45501</v>
      </c>
      <c r="J87" s="2"/>
    </row>
    <row r="88" spans="1:10">
      <c r="A88" s="6" t="s">
        <v>158</v>
      </c>
      <c r="B88" s="6"/>
      <c r="C88" s="2"/>
      <c r="D88" s="2" t="s">
        <v>14</v>
      </c>
      <c r="E88" s="2" t="s">
        <v>15</v>
      </c>
      <c r="F88" s="2"/>
      <c r="G88" s="2"/>
      <c r="H88" s="2" t="str">
        <f>REPT("★", F88) &amp; REPT("☆", 5 - F88)</f>
        <v>☆☆☆☆☆</v>
      </c>
      <c r="I88" s="7">
        <v>45501</v>
      </c>
      <c r="J88" s="2"/>
    </row>
    <row r="89" spans="1:10">
      <c r="A89" s="6" t="s">
        <v>159</v>
      </c>
      <c r="B89" s="6"/>
      <c r="C89" s="2"/>
      <c r="D89" s="2" t="s">
        <v>14</v>
      </c>
      <c r="E89" s="2" t="s">
        <v>15</v>
      </c>
      <c r="F89" s="2"/>
      <c r="G89" s="2"/>
      <c r="H89" s="2" t="str">
        <f>REPT("★", F89) &amp; REPT("☆", 5 - F89)</f>
        <v>☆☆☆☆☆</v>
      </c>
      <c r="I89" s="7">
        <v>45501</v>
      </c>
      <c r="J89" s="2"/>
    </row>
    <row r="90" spans="1:10">
      <c r="A90" s="6" t="s">
        <v>160</v>
      </c>
      <c r="B90" s="6"/>
      <c r="C90" s="2"/>
      <c r="D90" s="2" t="s">
        <v>14</v>
      </c>
      <c r="E90" s="2" t="s">
        <v>15</v>
      </c>
      <c r="F90" s="2"/>
      <c r="G90" s="2"/>
      <c r="H90" s="2" t="str">
        <f>REPT("★", F90) &amp; REPT("☆", 5 - F90)</f>
        <v>☆☆☆☆☆</v>
      </c>
      <c r="I90" s="7">
        <v>45501</v>
      </c>
      <c r="J90" s="2"/>
    </row>
    <row r="91" spans="1:10">
      <c r="A91" s="6" t="s">
        <v>161</v>
      </c>
      <c r="B91" s="6"/>
      <c r="C91" s="2"/>
      <c r="D91" s="2" t="s">
        <v>14</v>
      </c>
      <c r="E91" s="2" t="s">
        <v>15</v>
      </c>
      <c r="F91" s="2"/>
      <c r="G91" s="2"/>
      <c r="H91" s="2" t="str">
        <f>REPT("★", F91) &amp; REPT("☆", 5 - F91)</f>
        <v>☆☆☆☆☆</v>
      </c>
      <c r="I91" s="7">
        <v>45503</v>
      </c>
      <c r="J91" s="2"/>
    </row>
    <row r="92" spans="1:10">
      <c r="A92" s="6" t="s">
        <v>162</v>
      </c>
      <c r="B92" s="6"/>
      <c r="C92" s="2"/>
      <c r="D92" s="2" t="s">
        <v>14</v>
      </c>
      <c r="E92" s="2" t="s">
        <v>15</v>
      </c>
      <c r="F92" s="2"/>
      <c r="G92" s="2"/>
      <c r="H92" s="2" t="str">
        <f>REPT("★", F92) &amp; REPT("☆", 5 - F92)</f>
        <v>☆☆☆☆☆</v>
      </c>
      <c r="I92" s="7">
        <v>45503</v>
      </c>
      <c r="J92" s="2"/>
    </row>
    <row r="93" spans="1:10">
      <c r="A93" s="6" t="s">
        <v>163</v>
      </c>
      <c r="B93" s="6"/>
      <c r="C93" s="2"/>
      <c r="D93" s="2" t="s">
        <v>14</v>
      </c>
      <c r="E93" s="2" t="s">
        <v>15</v>
      </c>
      <c r="F93" s="2">
        <v>4</v>
      </c>
      <c r="G93" s="2"/>
      <c r="H93" s="2" t="str">
        <f>REPT("★", F93) &amp; REPT("☆", 5 - F93)</f>
        <v>★★★★☆</v>
      </c>
      <c r="I93" s="7">
        <v>45503</v>
      </c>
      <c r="J93" s="2"/>
    </row>
    <row r="94" spans="1:10">
      <c r="A94" s="6" t="s">
        <v>164</v>
      </c>
      <c r="B94" s="6"/>
      <c r="C94" s="2"/>
      <c r="D94" s="2" t="s">
        <v>14</v>
      </c>
      <c r="E94" s="2" t="s">
        <v>15</v>
      </c>
      <c r="F94" s="2"/>
      <c r="G94" s="2"/>
      <c r="H94" s="2" t="str">
        <f>REPT("★", F94) &amp; REPT("☆", 5 - F94)</f>
        <v>☆☆☆☆☆</v>
      </c>
      <c r="I94" s="7">
        <v>45505</v>
      </c>
      <c r="J94" s="2"/>
    </row>
    <row r="95" spans="1:10" ht="30.75">
      <c r="A95" s="6" t="s">
        <v>165</v>
      </c>
      <c r="B95" s="6"/>
      <c r="C95" s="2"/>
      <c r="D95" s="2" t="s">
        <v>14</v>
      </c>
      <c r="E95" s="2" t="s">
        <v>15</v>
      </c>
      <c r="F95" s="2">
        <v>4</v>
      </c>
      <c r="G95" s="2"/>
      <c r="H95" s="2" t="str">
        <f>REPT("★", F95) &amp; REPT("☆", 5 - F95)</f>
        <v>★★★★☆</v>
      </c>
      <c r="I95" s="7">
        <v>45506</v>
      </c>
      <c r="J95" s="2"/>
    </row>
    <row r="96" spans="1:10">
      <c r="A96" s="6" t="s">
        <v>166</v>
      </c>
      <c r="B96" s="6"/>
      <c r="C96" s="2"/>
      <c r="D96" s="2" t="s">
        <v>14</v>
      </c>
      <c r="E96" s="2" t="s">
        <v>15</v>
      </c>
      <c r="F96" s="2">
        <v>1</v>
      </c>
      <c r="G96" s="2"/>
      <c r="H96" s="2" t="str">
        <f>REPT("★", F96) &amp; REPT("☆", 5 - F96)</f>
        <v>★☆☆☆☆</v>
      </c>
      <c r="I96" s="7">
        <v>45506</v>
      </c>
      <c r="J96" s="2"/>
    </row>
    <row r="97" spans="1:10" ht="30.75">
      <c r="A97" s="6" t="s">
        <v>167</v>
      </c>
      <c r="B97" s="6"/>
      <c r="C97" s="2"/>
      <c r="D97" s="2" t="s">
        <v>14</v>
      </c>
      <c r="E97" s="2" t="s">
        <v>15</v>
      </c>
      <c r="F97" s="2">
        <v>3.5</v>
      </c>
      <c r="G97" s="2"/>
      <c r="H97" s="2" t="str">
        <f>REPT("★", F97) &amp; REPT("☆", 5 - F97)</f>
        <v>★★★☆</v>
      </c>
      <c r="I97" s="7">
        <v>45506</v>
      </c>
      <c r="J97" s="2"/>
    </row>
    <row r="98" spans="1:10" ht="30.75">
      <c r="A98" s="6" t="s">
        <v>168</v>
      </c>
      <c r="B98" s="6"/>
      <c r="C98" s="2"/>
      <c r="D98" s="2" t="s">
        <v>14</v>
      </c>
      <c r="E98" s="2" t="s">
        <v>15</v>
      </c>
      <c r="F98" s="2"/>
      <c r="G98" s="2"/>
      <c r="H98" s="2" t="str">
        <f>REPT("★", F98) &amp; REPT("☆", 5 - F98)</f>
        <v>☆☆☆☆☆</v>
      </c>
      <c r="I98" s="7">
        <v>45507</v>
      </c>
      <c r="J98" s="2"/>
    </row>
    <row r="99" spans="1:10">
      <c r="A99" s="6" t="s">
        <v>169</v>
      </c>
      <c r="B99" s="6"/>
      <c r="C99" s="2"/>
      <c r="D99" s="2" t="s">
        <v>14</v>
      </c>
      <c r="E99" s="2" t="s">
        <v>15</v>
      </c>
      <c r="F99" s="2">
        <v>3.5</v>
      </c>
      <c r="G99" s="2"/>
      <c r="H99" s="2" t="str">
        <f>REPT("★", F99) &amp; REPT("☆", 5 - F99)</f>
        <v>★★★☆</v>
      </c>
      <c r="I99" s="7">
        <v>45508</v>
      </c>
      <c r="J99" s="2"/>
    </row>
    <row r="100" spans="1:10">
      <c r="A100" s="6" t="s">
        <v>170</v>
      </c>
      <c r="B100" s="6"/>
      <c r="C100" s="2"/>
      <c r="D100" s="2" t="s">
        <v>14</v>
      </c>
      <c r="E100" s="2" t="s">
        <v>15</v>
      </c>
      <c r="F100" s="2"/>
      <c r="G100" s="2"/>
      <c r="H100" s="2" t="str">
        <f>REPT("★", F100) &amp; REPT("☆", 5 - F100)</f>
        <v>☆☆☆☆☆</v>
      </c>
      <c r="I100" s="7">
        <v>45508</v>
      </c>
      <c r="J100" s="2"/>
    </row>
    <row r="101" spans="1:10" ht="30.75">
      <c r="A101" s="6" t="s">
        <v>171</v>
      </c>
      <c r="B101" s="6"/>
      <c r="C101" s="2"/>
      <c r="D101" s="2" t="s">
        <v>14</v>
      </c>
      <c r="E101" s="2" t="s">
        <v>15</v>
      </c>
      <c r="F101" s="2">
        <v>3.5</v>
      </c>
      <c r="G101" s="2"/>
      <c r="H101" s="2" t="str">
        <f>REPT("★", F101) &amp; REPT("☆", 5 - F101)</f>
        <v>★★★☆</v>
      </c>
      <c r="I101" s="7">
        <v>45509</v>
      </c>
      <c r="J101" s="2"/>
    </row>
    <row r="102" spans="1:10">
      <c r="A102" s="6" t="s">
        <v>172</v>
      </c>
      <c r="B102" s="6"/>
      <c r="C102" s="2"/>
      <c r="D102" s="2" t="s">
        <v>14</v>
      </c>
      <c r="E102" s="2" t="s">
        <v>15</v>
      </c>
      <c r="F102" s="2"/>
      <c r="G102" s="2"/>
      <c r="H102" s="2" t="str">
        <f>REPT("★", F102) &amp; REPT("☆", 5 - F102)</f>
        <v>☆☆☆☆☆</v>
      </c>
      <c r="I102" s="7">
        <v>45509</v>
      </c>
      <c r="J102" s="2"/>
    </row>
    <row r="103" spans="1:10">
      <c r="A103" s="6" t="s">
        <v>173</v>
      </c>
      <c r="B103" s="6"/>
      <c r="C103" s="2"/>
      <c r="D103" s="2" t="s">
        <v>14</v>
      </c>
      <c r="E103" s="2" t="s">
        <v>15</v>
      </c>
      <c r="F103" s="2">
        <v>2.5</v>
      </c>
      <c r="G103" s="2"/>
      <c r="H103" s="2" t="str">
        <f>REPT("★", F103) &amp; REPT("☆", 5 - F103)</f>
        <v>★★☆☆</v>
      </c>
      <c r="I103" s="7">
        <v>45511</v>
      </c>
      <c r="J103" s="2"/>
    </row>
    <row r="104" spans="1:10">
      <c r="A104" s="6" t="s">
        <v>174</v>
      </c>
      <c r="B104" s="6"/>
      <c r="C104" s="2"/>
      <c r="D104" s="2" t="s">
        <v>14</v>
      </c>
      <c r="E104" s="2" t="s">
        <v>15</v>
      </c>
      <c r="F104" s="2">
        <v>5</v>
      </c>
      <c r="G104" s="2"/>
      <c r="H104" s="2" t="str">
        <f>REPT("★", F104) &amp; REPT("☆", 5 - F104)</f>
        <v>★★★★★</v>
      </c>
      <c r="I104" s="7">
        <v>45511</v>
      </c>
      <c r="J104" s="2"/>
    </row>
    <row r="105" spans="1:10">
      <c r="A105" s="6" t="s">
        <v>175</v>
      </c>
      <c r="B105" s="6"/>
      <c r="C105" s="2"/>
      <c r="D105" s="2" t="s">
        <v>14</v>
      </c>
      <c r="E105" s="2" t="s">
        <v>15</v>
      </c>
      <c r="F105" s="2"/>
      <c r="G105" s="2"/>
      <c r="H105" s="2" t="str">
        <f>REPT("★", F105) &amp; REPT("☆", 5 - F105)</f>
        <v>☆☆☆☆☆</v>
      </c>
      <c r="I105" s="7">
        <v>45512</v>
      </c>
      <c r="J105" s="2"/>
    </row>
    <row r="106" spans="1:10">
      <c r="A106" s="6" t="s">
        <v>176</v>
      </c>
      <c r="B106" s="6"/>
      <c r="C106" s="2"/>
      <c r="D106" s="2" t="s">
        <v>14</v>
      </c>
      <c r="E106" s="2" t="s">
        <v>15</v>
      </c>
      <c r="F106" s="2">
        <v>2.5</v>
      </c>
      <c r="G106" s="2"/>
      <c r="H106" s="2" t="str">
        <f>REPT("★", F106) &amp; REPT("☆", 5 - F106)</f>
        <v>★★☆☆</v>
      </c>
      <c r="I106" s="7">
        <v>45514</v>
      </c>
      <c r="J106" s="2"/>
    </row>
    <row r="107" spans="1:10">
      <c r="A107" s="6" t="s">
        <v>177</v>
      </c>
      <c r="B107" s="6"/>
      <c r="C107" s="2"/>
      <c r="D107" s="2" t="s">
        <v>14</v>
      </c>
      <c r="E107" s="2" t="s">
        <v>15</v>
      </c>
      <c r="F107" s="2">
        <v>5</v>
      </c>
      <c r="G107" s="2"/>
      <c r="H107" s="2" t="str">
        <f>REPT("★", F107) &amp; REPT("☆", 5 - F107)</f>
        <v>★★★★★</v>
      </c>
      <c r="I107" s="7">
        <v>45517</v>
      </c>
      <c r="J107" s="2"/>
    </row>
    <row r="108" spans="1:10" ht="30.75">
      <c r="A108" s="6" t="s">
        <v>178</v>
      </c>
      <c r="B108" s="6"/>
      <c r="C108" s="2"/>
      <c r="D108" s="2" t="s">
        <v>14</v>
      </c>
      <c r="E108" s="2" t="s">
        <v>15</v>
      </c>
      <c r="F108" s="2"/>
      <c r="G108" s="2"/>
      <c r="H108" s="2" t="str">
        <f>REPT("★", F108) &amp; REPT("☆", 5 - F108)</f>
        <v>☆☆☆☆☆</v>
      </c>
      <c r="I108" s="7">
        <v>45519</v>
      </c>
      <c r="J108" s="2"/>
    </row>
    <row r="109" spans="1:10">
      <c r="A109" s="6" t="s">
        <v>179</v>
      </c>
      <c r="B109" s="6"/>
      <c r="C109" s="2"/>
      <c r="D109" s="2" t="s">
        <v>14</v>
      </c>
      <c r="E109" s="2" t="s">
        <v>15</v>
      </c>
      <c r="F109" s="2"/>
      <c r="G109" s="2"/>
      <c r="H109" s="2" t="str">
        <f>REPT("★", F109) &amp; REPT("☆", 5 - F109)</f>
        <v>☆☆☆☆☆</v>
      </c>
      <c r="I109" s="7">
        <v>45519</v>
      </c>
      <c r="J109" s="2"/>
    </row>
    <row r="110" spans="1:10">
      <c r="A110" s="6" t="s">
        <v>180</v>
      </c>
      <c r="B110" s="6"/>
      <c r="C110" s="2"/>
      <c r="D110" s="2" t="s">
        <v>14</v>
      </c>
      <c r="E110" s="2" t="s">
        <v>15</v>
      </c>
      <c r="F110" s="2"/>
      <c r="G110" s="2"/>
      <c r="H110" s="2" t="str">
        <f>REPT("★", F110) &amp; REPT("☆", 5 - F110)</f>
        <v>☆☆☆☆☆</v>
      </c>
      <c r="I110" s="7">
        <v>45521</v>
      </c>
      <c r="J110" s="2"/>
    </row>
    <row r="111" spans="1:10">
      <c r="A111" s="6" t="s">
        <v>181</v>
      </c>
      <c r="B111" s="6"/>
      <c r="C111" s="2"/>
      <c r="D111" s="2" t="s">
        <v>14</v>
      </c>
      <c r="E111" s="2" t="s">
        <v>15</v>
      </c>
      <c r="F111" s="2">
        <v>4.5</v>
      </c>
      <c r="G111" s="2"/>
      <c r="H111" s="2" t="str">
        <f>REPT("★", F111) &amp; REPT("☆", 5 - F111)</f>
        <v>★★★★</v>
      </c>
      <c r="I111" s="7">
        <v>45521</v>
      </c>
      <c r="J111" s="2"/>
    </row>
    <row r="112" spans="1:10">
      <c r="A112" s="6" t="s">
        <v>182</v>
      </c>
      <c r="B112" s="6"/>
      <c r="C112" s="2"/>
      <c r="D112" s="2" t="s">
        <v>14</v>
      </c>
      <c r="E112" s="2" t="s">
        <v>15</v>
      </c>
      <c r="F112" s="2"/>
      <c r="G112" s="2"/>
      <c r="H112" s="2" t="str">
        <f>REPT("★", F112) &amp; REPT("☆", 5 - F112)</f>
        <v>☆☆☆☆☆</v>
      </c>
      <c r="I112" s="7">
        <v>45522</v>
      </c>
      <c r="J112" s="2"/>
    </row>
    <row r="113" spans="1:10" ht="30.75">
      <c r="A113" s="6" t="s">
        <v>183</v>
      </c>
      <c r="B113" s="6"/>
      <c r="C113" s="2"/>
      <c r="D113" s="2" t="s">
        <v>14</v>
      </c>
      <c r="E113" s="2" t="s">
        <v>15</v>
      </c>
      <c r="F113" s="2"/>
      <c r="G113" s="2"/>
      <c r="H113" s="2" t="str">
        <f>REPT("★", F113) &amp; REPT("☆", 5 - F113)</f>
        <v>☆☆☆☆☆</v>
      </c>
      <c r="I113" s="7">
        <v>45523</v>
      </c>
      <c r="J113" s="2"/>
    </row>
    <row r="114" spans="1:10">
      <c r="A114" s="6" t="s">
        <v>184</v>
      </c>
      <c r="B114" s="6"/>
      <c r="C114" s="2"/>
      <c r="D114" s="2" t="s">
        <v>14</v>
      </c>
      <c r="E114" s="2" t="s">
        <v>15</v>
      </c>
      <c r="F114" s="2"/>
      <c r="G114" s="2"/>
      <c r="H114" s="2" t="str">
        <f>REPT("★", F114) &amp; REPT("☆", 5 - F114)</f>
        <v>☆☆☆☆☆</v>
      </c>
      <c r="I114" s="7">
        <v>45529</v>
      </c>
      <c r="J114" s="2"/>
    </row>
    <row r="115" spans="1:10">
      <c r="A115" s="6" t="s">
        <v>185</v>
      </c>
      <c r="B115" s="6"/>
      <c r="C115" s="2"/>
      <c r="D115" s="2" t="s">
        <v>14</v>
      </c>
      <c r="E115" s="2" t="s">
        <v>15</v>
      </c>
      <c r="F115" s="2"/>
      <c r="G115" s="2"/>
      <c r="H115" s="2" t="str">
        <f>REPT("★", F115) &amp; REPT("☆", 5 - F115)</f>
        <v>☆☆☆☆☆</v>
      </c>
      <c r="I115" s="7">
        <v>45530</v>
      </c>
      <c r="J115" s="2"/>
    </row>
    <row r="116" spans="1:10">
      <c r="A116" s="6" t="s">
        <v>186</v>
      </c>
      <c r="B116" s="6"/>
      <c r="C116" s="2"/>
      <c r="D116" s="2" t="s">
        <v>14</v>
      </c>
      <c r="E116" s="2" t="s">
        <v>15</v>
      </c>
      <c r="F116" s="2"/>
      <c r="G116" s="2"/>
      <c r="H116" s="2" t="str">
        <f>REPT("★", F116) &amp; REPT("☆", 5 - F116)</f>
        <v>☆☆☆☆☆</v>
      </c>
      <c r="I116" s="7">
        <v>45540</v>
      </c>
      <c r="J116" s="2"/>
    </row>
    <row r="117" spans="1:10">
      <c r="A117" s="6" t="s">
        <v>187</v>
      </c>
      <c r="B117" s="6"/>
      <c r="C117" s="2"/>
      <c r="D117" s="2" t="s">
        <v>14</v>
      </c>
      <c r="E117" s="2" t="s">
        <v>15</v>
      </c>
      <c r="F117" s="2"/>
      <c r="G117" s="2"/>
      <c r="H117" s="2" t="str">
        <f>REPT("★", F117) &amp; REPT("☆", 5 - F117)</f>
        <v>☆☆☆☆☆</v>
      </c>
      <c r="I117" s="7">
        <v>45545</v>
      </c>
      <c r="J117" s="2"/>
    </row>
    <row r="118" spans="1:10">
      <c r="A118" s="6" t="s">
        <v>188</v>
      </c>
      <c r="B118" s="6" t="s">
        <v>189</v>
      </c>
      <c r="C118" s="2" t="s">
        <v>190</v>
      </c>
      <c r="D118" s="2" t="s">
        <v>14</v>
      </c>
      <c r="E118" s="2" t="s">
        <v>19</v>
      </c>
      <c r="F118" s="2">
        <v>4.5</v>
      </c>
      <c r="G118" s="2">
        <v>387</v>
      </c>
      <c r="H118" s="2" t="str">
        <f>REPT("★", F118) &amp; REPT("☆", 5 - F118)</f>
        <v>★★★★</v>
      </c>
      <c r="I118" s="7">
        <v>45548</v>
      </c>
      <c r="J118" s="2" t="s">
        <v>191</v>
      </c>
    </row>
    <row r="119" spans="1:10" ht="30.75">
      <c r="A119" s="6" t="s">
        <v>192</v>
      </c>
      <c r="B119" s="6" t="s">
        <v>193</v>
      </c>
      <c r="C119" s="2" t="s">
        <v>194</v>
      </c>
      <c r="D119" s="2" t="s">
        <v>14</v>
      </c>
      <c r="E119" s="2" t="s">
        <v>19</v>
      </c>
      <c r="F119" s="2">
        <v>5</v>
      </c>
      <c r="G119" s="2">
        <v>64</v>
      </c>
      <c r="H119" s="2" t="str">
        <f>REPT("★", F119) &amp; REPT("☆", 5 - F119)</f>
        <v>★★★★★</v>
      </c>
      <c r="I119" s="7">
        <v>45550</v>
      </c>
      <c r="J119" s="2"/>
    </row>
    <row r="120" spans="1:10">
      <c r="A120" s="6" t="s">
        <v>195</v>
      </c>
      <c r="B120" s="6"/>
      <c r="C120" s="2"/>
      <c r="D120" s="2" t="s">
        <v>14</v>
      </c>
      <c r="E120" s="2" t="s">
        <v>15</v>
      </c>
      <c r="F120" s="2">
        <v>5</v>
      </c>
      <c r="G120" s="2"/>
      <c r="H120" s="2" t="str">
        <f>REPT("★", F120) &amp; REPT("☆", 5 - F120)</f>
        <v>★★★★★</v>
      </c>
      <c r="I120" s="7">
        <v>45552</v>
      </c>
      <c r="J120" s="2"/>
    </row>
    <row r="121" spans="1:10" ht="30.75">
      <c r="A121" s="6" t="s">
        <v>196</v>
      </c>
      <c r="B121" s="6"/>
      <c r="C121" s="2"/>
      <c r="D121" s="2" t="s">
        <v>14</v>
      </c>
      <c r="E121" s="2" t="s">
        <v>15</v>
      </c>
      <c r="F121" s="2">
        <v>4.5</v>
      </c>
      <c r="G121" s="2"/>
      <c r="H121" s="2" t="str">
        <f>REPT("★", F121) &amp; REPT("☆", 5 - F121)</f>
        <v>★★★★</v>
      </c>
      <c r="I121" s="7">
        <v>45553</v>
      </c>
      <c r="J121" s="2"/>
    </row>
    <row r="122" spans="1:10">
      <c r="A122" s="6" t="s">
        <v>197</v>
      </c>
      <c r="B122" s="6"/>
      <c r="C122" s="2"/>
      <c r="D122" s="2" t="s">
        <v>14</v>
      </c>
      <c r="E122" s="2" t="s">
        <v>15</v>
      </c>
      <c r="F122" s="2">
        <v>3.5</v>
      </c>
      <c r="G122" s="2"/>
      <c r="H122" s="2" t="str">
        <f>REPT("★", F122) &amp; REPT("☆", 5 - F122)</f>
        <v>★★★☆</v>
      </c>
      <c r="I122" s="7">
        <v>45554</v>
      </c>
      <c r="J122" s="2"/>
    </row>
    <row r="123" spans="1:10">
      <c r="A123" s="6" t="s">
        <v>198</v>
      </c>
      <c r="B123" s="6"/>
      <c r="C123" s="2"/>
      <c r="D123" s="2" t="s">
        <v>14</v>
      </c>
      <c r="E123" s="2" t="s">
        <v>15</v>
      </c>
      <c r="F123" s="2"/>
      <c r="G123" s="2"/>
      <c r="H123" s="2" t="str">
        <f>REPT("★", F123) &amp; REPT("☆", 5 - F123)</f>
        <v>☆☆☆☆☆</v>
      </c>
      <c r="I123" s="7">
        <v>45554</v>
      </c>
      <c r="J123" s="2"/>
    </row>
    <row r="124" spans="1:10">
      <c r="A124" s="6" t="s">
        <v>199</v>
      </c>
      <c r="B124" s="6"/>
      <c r="C124" s="2"/>
      <c r="D124" s="2" t="s">
        <v>14</v>
      </c>
      <c r="E124" s="2" t="s">
        <v>15</v>
      </c>
      <c r="F124" s="2">
        <v>3.5</v>
      </c>
      <c r="G124" s="2"/>
      <c r="H124" s="2" t="str">
        <f>REPT("★", F124) &amp; REPT("☆", 5 - F124)</f>
        <v>★★★☆</v>
      </c>
      <c r="I124" s="7">
        <v>45555</v>
      </c>
      <c r="J124" s="2"/>
    </row>
    <row r="125" spans="1:10">
      <c r="A125" s="6" t="s">
        <v>200</v>
      </c>
      <c r="B125" s="6"/>
      <c r="C125" s="2"/>
      <c r="D125" s="2" t="s">
        <v>14</v>
      </c>
      <c r="E125" s="2" t="s">
        <v>15</v>
      </c>
      <c r="F125" s="2"/>
      <c r="G125" s="2"/>
      <c r="H125" s="2" t="str">
        <f>REPT("★", F125) &amp; REPT("☆", 5 - F125)</f>
        <v>☆☆☆☆☆</v>
      </c>
      <c r="I125" s="7">
        <v>45559</v>
      </c>
      <c r="J125" s="2"/>
    </row>
    <row r="126" spans="1:10">
      <c r="A126" s="6" t="s">
        <v>201</v>
      </c>
      <c r="B126" s="6"/>
      <c r="C126" s="2"/>
      <c r="D126" s="2" t="s">
        <v>14</v>
      </c>
      <c r="E126" s="2" t="s">
        <v>15</v>
      </c>
      <c r="F126" s="2">
        <v>4</v>
      </c>
      <c r="G126" s="2"/>
      <c r="H126" s="2" t="str">
        <f>REPT("★", F126) &amp; REPT("☆", 5 - F126)</f>
        <v>★★★★☆</v>
      </c>
      <c r="I126" s="7">
        <v>45560</v>
      </c>
      <c r="J126" s="2"/>
    </row>
    <row r="127" spans="1:10" ht="30.75">
      <c r="A127" s="6" t="s">
        <v>202</v>
      </c>
      <c r="B127" s="6"/>
      <c r="C127" s="2"/>
      <c r="D127" s="2" t="s">
        <v>14</v>
      </c>
      <c r="E127" s="2" t="s">
        <v>15</v>
      </c>
      <c r="F127" s="2">
        <v>4</v>
      </c>
      <c r="G127" s="2"/>
      <c r="H127" s="2" t="str">
        <f>REPT("★", F127) &amp; REPT("☆", 5 - F127)</f>
        <v>★★★★☆</v>
      </c>
      <c r="I127" s="7">
        <v>45561</v>
      </c>
      <c r="J127" s="2"/>
    </row>
    <row r="128" spans="1:10" ht="30.75">
      <c r="A128" s="6" t="s">
        <v>203</v>
      </c>
      <c r="B128" s="6"/>
      <c r="C128" s="2"/>
      <c r="D128" s="2" t="s">
        <v>14</v>
      </c>
      <c r="E128" s="2" t="s">
        <v>15</v>
      </c>
      <c r="F128" s="2"/>
      <c r="G128" s="2"/>
      <c r="H128" s="2" t="str">
        <f>REPT("★", F128) &amp; REPT("☆", 5 - F128)</f>
        <v>☆☆☆☆☆</v>
      </c>
      <c r="I128" s="7">
        <v>45562</v>
      </c>
      <c r="J128" s="2"/>
    </row>
    <row r="129" spans="1:10">
      <c r="A129" s="6" t="s">
        <v>204</v>
      </c>
      <c r="B129" s="6"/>
      <c r="C129" s="2"/>
      <c r="D129" s="2" t="s">
        <v>14</v>
      </c>
      <c r="E129" s="2" t="s">
        <v>15</v>
      </c>
      <c r="F129" s="2">
        <v>4</v>
      </c>
      <c r="G129" s="2"/>
      <c r="H129" s="2" t="str">
        <f>REPT("★", F129) &amp; REPT("☆", 5 - F129)</f>
        <v>★★★★☆</v>
      </c>
      <c r="I129" s="7">
        <v>45564</v>
      </c>
      <c r="J129" s="2"/>
    </row>
    <row r="130" spans="1:10">
      <c r="A130" s="6" t="s">
        <v>205</v>
      </c>
      <c r="B130" s="6"/>
      <c r="C130" s="2"/>
      <c r="D130" s="2" t="s">
        <v>14</v>
      </c>
      <c r="E130" s="2" t="s">
        <v>15</v>
      </c>
      <c r="F130" s="2">
        <v>5</v>
      </c>
      <c r="G130" s="2"/>
      <c r="H130" s="2" t="str">
        <f>REPT("★", F130) &amp; REPT("☆", 5 - F130)</f>
        <v>★★★★★</v>
      </c>
      <c r="I130" s="7">
        <v>45569</v>
      </c>
      <c r="J130" s="2"/>
    </row>
    <row r="131" spans="1:10" ht="30.75">
      <c r="A131" s="6" t="s">
        <v>92</v>
      </c>
      <c r="B131" s="6"/>
      <c r="C131" s="2"/>
      <c r="D131" s="2" t="s">
        <v>14</v>
      </c>
      <c r="E131" s="2" t="s">
        <v>15</v>
      </c>
      <c r="F131" s="2">
        <v>4</v>
      </c>
      <c r="G131" s="2"/>
      <c r="H131" s="2" t="str">
        <f>REPT("★", F131) &amp; REPT("☆", 5 - F131)</f>
        <v>★★★★☆</v>
      </c>
      <c r="I131" s="7">
        <v>45571</v>
      </c>
      <c r="J131" s="2"/>
    </row>
    <row r="132" spans="1:10">
      <c r="A132" s="6" t="s">
        <v>144</v>
      </c>
      <c r="B132" s="6"/>
      <c r="C132" s="2"/>
      <c r="D132" s="2" t="s">
        <v>14</v>
      </c>
      <c r="E132" s="2" t="s">
        <v>15</v>
      </c>
      <c r="F132" s="2">
        <v>5</v>
      </c>
      <c r="G132" s="2"/>
      <c r="H132" s="2" t="str">
        <f>REPT("★", F132) &amp; REPT("☆", 5 - F132)</f>
        <v>★★★★★</v>
      </c>
      <c r="I132" s="7">
        <v>45573</v>
      </c>
      <c r="J132" s="2"/>
    </row>
    <row r="133" spans="1:10">
      <c r="A133" s="6" t="s">
        <v>206</v>
      </c>
      <c r="B133" s="6"/>
      <c r="C133" s="2"/>
      <c r="D133" s="2" t="s">
        <v>14</v>
      </c>
      <c r="E133" s="2" t="s">
        <v>15</v>
      </c>
      <c r="F133" s="2">
        <v>4.5</v>
      </c>
      <c r="G133" s="2"/>
      <c r="H133" s="2" t="str">
        <f>REPT("★", F133) &amp; REPT("☆", 5 - F133)</f>
        <v>★★★★</v>
      </c>
      <c r="I133" s="7">
        <v>45575</v>
      </c>
      <c r="J133" s="2"/>
    </row>
    <row r="134" spans="1:10">
      <c r="A134" s="6" t="s">
        <v>150</v>
      </c>
      <c r="B134" s="6"/>
      <c r="C134" s="2"/>
      <c r="D134" s="2" t="s">
        <v>14</v>
      </c>
      <c r="E134" s="2" t="s">
        <v>15</v>
      </c>
      <c r="F134" s="2">
        <v>4.9000000000000004</v>
      </c>
      <c r="G134" s="2"/>
      <c r="H134" s="2" t="str">
        <f>REPT("★", F134) &amp; REPT("☆", 5 - F134)</f>
        <v>★★★★</v>
      </c>
      <c r="I134" s="7">
        <v>45576</v>
      </c>
      <c r="J134" s="2"/>
    </row>
    <row r="135" spans="1:10">
      <c r="A135" s="6" t="s">
        <v>139</v>
      </c>
      <c r="B135" s="6"/>
      <c r="C135" s="2"/>
      <c r="D135" s="2" t="s">
        <v>14</v>
      </c>
      <c r="E135" s="2" t="s">
        <v>15</v>
      </c>
      <c r="F135" s="2"/>
      <c r="G135" s="2"/>
      <c r="H135" s="2" t="str">
        <f>REPT("★", F135) &amp; REPT("☆", 5 - F135)</f>
        <v>☆☆☆☆☆</v>
      </c>
      <c r="I135" s="7">
        <v>45579</v>
      </c>
      <c r="J135" s="2"/>
    </row>
    <row r="136" spans="1:10" ht="30.75">
      <c r="A136" s="6" t="s">
        <v>168</v>
      </c>
      <c r="B136" s="6"/>
      <c r="C136" s="2"/>
      <c r="D136" s="2" t="s">
        <v>14</v>
      </c>
      <c r="E136" s="2" t="s">
        <v>15</v>
      </c>
      <c r="F136" s="2">
        <v>5</v>
      </c>
      <c r="G136" s="2"/>
      <c r="H136" s="2" t="str">
        <f>REPT("★", F136) &amp; REPT("☆", 5 - F136)</f>
        <v>★★★★★</v>
      </c>
      <c r="I136" s="7">
        <v>45579</v>
      </c>
      <c r="J136" s="2"/>
    </row>
    <row r="137" spans="1:10">
      <c r="A137" s="6" t="s">
        <v>207</v>
      </c>
      <c r="B137" s="6"/>
      <c r="C137" s="2"/>
      <c r="D137" s="2" t="s">
        <v>14</v>
      </c>
      <c r="E137" s="2" t="s">
        <v>15</v>
      </c>
      <c r="F137" s="2"/>
      <c r="G137" s="2"/>
      <c r="H137" s="2" t="str">
        <f>REPT("★", F137) &amp; REPT("☆", 5 - F137)</f>
        <v>☆☆☆☆☆</v>
      </c>
      <c r="I137" s="7">
        <v>45580</v>
      </c>
      <c r="J137" s="2"/>
    </row>
    <row r="138" spans="1:10" ht="30.75">
      <c r="A138" s="6" t="s">
        <v>208</v>
      </c>
      <c r="B138" s="6"/>
      <c r="C138" s="2"/>
      <c r="D138" s="2" t="s">
        <v>14</v>
      </c>
      <c r="E138" s="2" t="s">
        <v>15</v>
      </c>
      <c r="F138" s="2"/>
      <c r="G138" s="2"/>
      <c r="H138" s="2" t="str">
        <f>REPT("★", F138) &amp; REPT("☆", 5 - F138)</f>
        <v>☆☆☆☆☆</v>
      </c>
      <c r="I138" s="7">
        <v>45581</v>
      </c>
      <c r="J138" s="2"/>
    </row>
    <row r="139" spans="1:10">
      <c r="A139" s="6" t="s">
        <v>209</v>
      </c>
      <c r="B139" s="6"/>
      <c r="C139" s="2"/>
      <c r="D139" s="2" t="s">
        <v>14</v>
      </c>
      <c r="E139" s="2" t="s">
        <v>15</v>
      </c>
      <c r="F139" s="2"/>
      <c r="G139" s="2"/>
      <c r="H139" s="2" t="str">
        <f>REPT("★", F139) &amp; REPT("☆", 5 - F139)</f>
        <v>☆☆☆☆☆</v>
      </c>
      <c r="I139" s="7">
        <v>45589</v>
      </c>
      <c r="J139" s="2"/>
    </row>
    <row r="140" spans="1:10">
      <c r="A140" s="6" t="s">
        <v>210</v>
      </c>
      <c r="B140" s="6"/>
      <c r="C140" s="2"/>
      <c r="D140" s="2" t="s">
        <v>14</v>
      </c>
      <c r="E140" s="2" t="s">
        <v>15</v>
      </c>
      <c r="F140" s="2">
        <v>5</v>
      </c>
      <c r="G140" s="2"/>
      <c r="H140" s="2" t="str">
        <f>REPT("★", F140) &amp; REPT("☆", 5 - F140)</f>
        <v>★★★★★</v>
      </c>
      <c r="I140" s="7">
        <v>45604</v>
      </c>
      <c r="J140" s="2" t="s">
        <v>211</v>
      </c>
    </row>
    <row r="141" spans="1:10">
      <c r="A141" s="6" t="s">
        <v>212</v>
      </c>
      <c r="B141" s="6"/>
      <c r="C141" s="2"/>
      <c r="D141" s="2" t="s">
        <v>14</v>
      </c>
      <c r="E141" s="2" t="s">
        <v>15</v>
      </c>
      <c r="F141" s="2"/>
      <c r="G141" s="2"/>
      <c r="H141" s="2" t="str">
        <f>REPT("★", F141) &amp; REPT("☆", 5 - F141)</f>
        <v>☆☆☆☆☆</v>
      </c>
      <c r="I141" s="7">
        <v>45613</v>
      </c>
      <c r="J141" s="2"/>
    </row>
    <row r="142" spans="1:10">
      <c r="A142" s="6" t="s">
        <v>213</v>
      </c>
      <c r="B142" s="6"/>
      <c r="C142" s="2"/>
      <c r="D142" s="2" t="s">
        <v>14</v>
      </c>
      <c r="E142" s="2" t="s">
        <v>15</v>
      </c>
      <c r="F142" s="2"/>
      <c r="G142" s="2"/>
      <c r="H142" s="2" t="str">
        <f>REPT("★", F142) &amp; REPT("☆", 5 - F142)</f>
        <v>☆☆☆☆☆</v>
      </c>
      <c r="I142" s="7">
        <v>45644</v>
      </c>
      <c r="J142" s="2"/>
    </row>
    <row r="143" spans="1:10">
      <c r="A143" s="6" t="s">
        <v>214</v>
      </c>
      <c r="B143" s="6"/>
      <c r="C143" s="2"/>
      <c r="D143" s="2" t="s">
        <v>14</v>
      </c>
      <c r="E143" s="2" t="s">
        <v>15</v>
      </c>
      <c r="F143" s="2"/>
      <c r="G143" s="2"/>
      <c r="H143" s="2" t="str">
        <f>REPT("★", F143) &amp; REPT("☆", 5 - F143)</f>
        <v>☆☆☆☆☆</v>
      </c>
      <c r="I143" s="7">
        <v>45645</v>
      </c>
      <c r="J143" s="2"/>
    </row>
    <row r="144" spans="1:10">
      <c r="A144" s="6" t="s">
        <v>160</v>
      </c>
      <c r="B144" s="6"/>
      <c r="C144" s="2"/>
      <c r="D144" s="2" t="s">
        <v>14</v>
      </c>
      <c r="E144" s="2" t="s">
        <v>15</v>
      </c>
      <c r="F144" s="2"/>
      <c r="G144" s="2"/>
      <c r="H144" s="2" t="str">
        <f>REPT("★", F144) &amp; REPT("☆", 5 - F144)</f>
        <v>☆☆☆☆☆</v>
      </c>
      <c r="I144" s="7">
        <v>45646</v>
      </c>
      <c r="J144" s="2"/>
    </row>
    <row r="145" spans="1:10">
      <c r="A145" s="6" t="s">
        <v>181</v>
      </c>
      <c r="B145" s="6"/>
      <c r="C145" s="2"/>
      <c r="D145" s="2" t="s">
        <v>14</v>
      </c>
      <c r="E145" s="2" t="s">
        <v>15</v>
      </c>
      <c r="F145" s="2"/>
      <c r="G145" s="2"/>
      <c r="H145" s="2" t="str">
        <f>REPT("★", F145) &amp; REPT("☆", 5 - F145)</f>
        <v>☆☆☆☆☆</v>
      </c>
      <c r="I145" s="7">
        <v>45646</v>
      </c>
      <c r="J145" s="2"/>
    </row>
    <row r="146" spans="1:10">
      <c r="A146" s="6" t="s">
        <v>204</v>
      </c>
      <c r="B146" s="6"/>
      <c r="C146" s="2"/>
      <c r="D146" s="2" t="s">
        <v>14</v>
      </c>
      <c r="E146" s="2" t="s">
        <v>15</v>
      </c>
      <c r="F146" s="2"/>
      <c r="G146" s="2"/>
      <c r="H146" s="2" t="str">
        <f>REPT("★", F146) &amp; REPT("☆", 5 - F146)</f>
        <v>☆☆☆☆☆</v>
      </c>
      <c r="I146" s="7">
        <v>45653</v>
      </c>
      <c r="J146" s="2"/>
    </row>
    <row r="147" spans="1:10">
      <c r="A147" s="6" t="s">
        <v>215</v>
      </c>
      <c r="B147" s="6"/>
      <c r="C147" s="2"/>
      <c r="D147" s="2" t="s">
        <v>14</v>
      </c>
      <c r="E147" s="2" t="s">
        <v>15</v>
      </c>
      <c r="F147" s="2"/>
      <c r="G147" s="2"/>
      <c r="H147" s="2" t="str">
        <f>REPT("★", F147) &amp; REPT("☆", 5 - F147)</f>
        <v>☆☆☆☆☆</v>
      </c>
      <c r="I147" s="7">
        <v>45657</v>
      </c>
      <c r="J147" s="2"/>
    </row>
    <row r="148" spans="1:10">
      <c r="A148" s="6" t="s">
        <v>130</v>
      </c>
      <c r="B148" s="6"/>
      <c r="C148" s="2"/>
      <c r="D148" s="2" t="s">
        <v>14</v>
      </c>
      <c r="E148" s="2" t="s">
        <v>15</v>
      </c>
      <c r="F148" s="2">
        <v>4</v>
      </c>
      <c r="G148" s="2"/>
      <c r="H148" s="2" t="str">
        <f>REPT("★", F148) &amp; REPT("☆", 5 - F148)</f>
        <v>★★★★☆</v>
      </c>
      <c r="I148" s="7">
        <v>45683</v>
      </c>
      <c r="J148" s="2"/>
    </row>
    <row r="149" spans="1:10">
      <c r="A149" s="6" t="s">
        <v>216</v>
      </c>
      <c r="B149" s="6" t="s">
        <v>217</v>
      </c>
      <c r="C149" s="2" t="s">
        <v>29</v>
      </c>
      <c r="D149" s="2" t="s">
        <v>14</v>
      </c>
      <c r="E149" s="2" t="s">
        <v>19</v>
      </c>
      <c r="F149" s="2">
        <v>3.5</v>
      </c>
      <c r="G149" s="2">
        <v>96</v>
      </c>
      <c r="H149" s="2" t="str">
        <f>REPT("★", F149) &amp; REPT("☆", 5 - F149)</f>
        <v>★★★☆</v>
      </c>
      <c r="I149" s="7">
        <v>45688</v>
      </c>
      <c r="J149" s="2"/>
    </row>
    <row r="150" spans="1:10">
      <c r="A150" s="6" t="s">
        <v>218</v>
      </c>
      <c r="B150" s="6"/>
      <c r="C150" s="2"/>
      <c r="D150" s="2" t="s">
        <v>14</v>
      </c>
      <c r="E150" s="2" t="s">
        <v>15</v>
      </c>
      <c r="F150" s="2">
        <v>4</v>
      </c>
      <c r="G150" s="2"/>
      <c r="H150" s="2" t="str">
        <f>REPT("★", F150) &amp; REPT("☆", 5 - F150)</f>
        <v>★★★★☆</v>
      </c>
      <c r="I150" s="7">
        <v>45727</v>
      </c>
      <c r="J150" s="2"/>
    </row>
    <row r="151" spans="1:10">
      <c r="A151" s="6" t="s">
        <v>210</v>
      </c>
      <c r="B151" s="6"/>
      <c r="C151" s="2"/>
      <c r="D151" s="2" t="s">
        <v>14</v>
      </c>
      <c r="E151" s="2" t="s">
        <v>15</v>
      </c>
      <c r="F151" s="2">
        <v>5</v>
      </c>
      <c r="G151" s="2"/>
      <c r="H151" s="2" t="str">
        <f>REPT("★", F151) &amp; REPT("☆", 5 - F151)</f>
        <v>★★★★★</v>
      </c>
      <c r="I151" s="7">
        <v>45738</v>
      </c>
      <c r="J151" s="2"/>
    </row>
    <row r="152" spans="1:10" ht="45.75">
      <c r="A152" s="6" t="s">
        <v>219</v>
      </c>
      <c r="B152" s="6"/>
      <c r="C152" s="2"/>
      <c r="D152" s="2" t="s">
        <v>14</v>
      </c>
      <c r="E152" s="2" t="s">
        <v>15</v>
      </c>
      <c r="F152" s="2">
        <v>4</v>
      </c>
      <c r="G152" s="2"/>
      <c r="H152" s="2" t="str">
        <f>REPT("★", F152) &amp; REPT("☆", 5 - F152)</f>
        <v>★★★★☆</v>
      </c>
      <c r="I152" s="7">
        <v>45739</v>
      </c>
      <c r="J152" s="2"/>
    </row>
    <row r="153" spans="1:10" ht="30.75">
      <c r="A153" s="6" t="s">
        <v>220</v>
      </c>
      <c r="B153" s="6"/>
      <c r="C153" s="2"/>
      <c r="D153" s="2" t="s">
        <v>14</v>
      </c>
      <c r="E153" s="2" t="s">
        <v>15</v>
      </c>
      <c r="F153" s="2">
        <v>3.5</v>
      </c>
      <c r="G153" s="2"/>
      <c r="H153" s="2" t="str">
        <f>REPT("★", F153) &amp; REPT("☆", 5 - F153)</f>
        <v>★★★☆</v>
      </c>
      <c r="I153" s="7">
        <v>45739</v>
      </c>
      <c r="J153" s="2"/>
    </row>
    <row r="154" spans="1:10" ht="30.75">
      <c r="A154" s="6" t="s">
        <v>221</v>
      </c>
      <c r="B154" s="6"/>
      <c r="C154" s="2"/>
      <c r="D154" s="2" t="s">
        <v>14</v>
      </c>
      <c r="E154" s="2" t="s">
        <v>15</v>
      </c>
      <c r="F154" s="2">
        <v>3.5</v>
      </c>
      <c r="G154" s="2"/>
      <c r="H154" s="2" t="str">
        <f>REPT("★", F154) &amp; REPT("☆", 5 - F154)</f>
        <v>★★★☆</v>
      </c>
      <c r="I154" s="7">
        <v>45739</v>
      </c>
      <c r="J154" s="2"/>
    </row>
    <row r="155" spans="1:10" ht="30.75">
      <c r="A155" s="6" t="s">
        <v>168</v>
      </c>
      <c r="B155" s="6"/>
      <c r="C155" s="2"/>
      <c r="D155" s="2" t="s">
        <v>14</v>
      </c>
      <c r="E155" s="2" t="s">
        <v>15</v>
      </c>
      <c r="F155" s="2">
        <v>4</v>
      </c>
      <c r="G155" s="2"/>
      <c r="H155" s="2" t="str">
        <f>REPT("★", F155) &amp; REPT("☆", 5 - F155)</f>
        <v>★★★★☆</v>
      </c>
      <c r="I155" s="7">
        <v>45814</v>
      </c>
      <c r="J155" s="2"/>
    </row>
    <row r="156" spans="1:10">
      <c r="A156" s="6" t="s">
        <v>222</v>
      </c>
      <c r="B156" s="6"/>
      <c r="C156" s="2"/>
      <c r="D156" s="2" t="s">
        <v>14</v>
      </c>
      <c r="E156" s="2" t="s">
        <v>15</v>
      </c>
      <c r="F156" s="2">
        <v>4.5</v>
      </c>
      <c r="G156" s="2"/>
      <c r="H156" s="2" t="str">
        <f>REPT("★", F156) &amp; REPT("☆", 5 - F156)</f>
        <v>★★★★</v>
      </c>
      <c r="I156" s="7">
        <v>45833</v>
      </c>
      <c r="J156" s="2"/>
    </row>
    <row r="157" spans="1:10">
      <c r="A157" s="6" t="s">
        <v>182</v>
      </c>
      <c r="B157" s="6"/>
      <c r="C157" s="2"/>
      <c r="D157" s="2" t="s">
        <v>14</v>
      </c>
      <c r="E157" s="2" t="s">
        <v>15</v>
      </c>
      <c r="F157" s="2">
        <v>3</v>
      </c>
      <c r="G157" s="2"/>
      <c r="H157" s="2" t="str">
        <f>REPT("★", F157) &amp; REPT("☆", 5 - F157)</f>
        <v>★★★☆☆</v>
      </c>
      <c r="I157" s="7">
        <v>45987</v>
      </c>
      <c r="J157" s="2"/>
    </row>
    <row r="158" spans="1:10" ht="30.75">
      <c r="A158" s="6" t="s">
        <v>223</v>
      </c>
      <c r="B158" s="6"/>
      <c r="C158" s="2"/>
      <c r="D158" s="2" t="s">
        <v>14</v>
      </c>
      <c r="E158" s="2" t="s">
        <v>15</v>
      </c>
      <c r="F158" s="2">
        <v>4</v>
      </c>
      <c r="G158" s="2"/>
      <c r="H158" s="2" t="str">
        <f>REPT("★", F158) &amp; REPT("☆", 5 - F158)</f>
        <v>★★★★☆</v>
      </c>
      <c r="I158" s="7">
        <v>46030</v>
      </c>
      <c r="J158" s="2"/>
    </row>
    <row r="159" spans="1:10">
      <c r="A159" s="6" t="s">
        <v>224</v>
      </c>
      <c r="B159" s="6"/>
      <c r="C159" s="2"/>
      <c r="D159" s="2" t="s">
        <v>14</v>
      </c>
      <c r="E159" s="2" t="s">
        <v>15</v>
      </c>
      <c r="F159" s="2">
        <v>4</v>
      </c>
      <c r="G159" s="2"/>
      <c r="H159" s="2" t="str">
        <f>REPT("★", F159) &amp; REPT("☆", 5 - F159)</f>
        <v>★★★★☆</v>
      </c>
      <c r="I159" s="7">
        <v>46037</v>
      </c>
      <c r="J159" s="2"/>
    </row>
    <row r="160" spans="1:10">
      <c r="A160" s="6" t="s">
        <v>112</v>
      </c>
      <c r="B160" s="6"/>
      <c r="C160" s="2"/>
      <c r="D160" s="2" t="s">
        <v>14</v>
      </c>
      <c r="E160" s="2" t="s">
        <v>15</v>
      </c>
      <c r="F160" s="2">
        <v>3</v>
      </c>
      <c r="G160" s="2"/>
      <c r="H160" s="2" t="str">
        <f>REPT("★", F160) &amp; REPT("☆", 5 - F160)</f>
        <v>★★★☆☆</v>
      </c>
      <c r="I160" s="7">
        <v>46055</v>
      </c>
      <c r="J160" s="2"/>
    </row>
    <row r="161" spans="1:10">
      <c r="A161" s="6" t="s">
        <v>225</v>
      </c>
      <c r="B161" s="6"/>
      <c r="C161" s="2"/>
      <c r="D161" s="2" t="s">
        <v>14</v>
      </c>
      <c r="E161" s="2" t="s">
        <v>15</v>
      </c>
      <c r="F161" s="2">
        <v>3</v>
      </c>
      <c r="G161" s="2"/>
      <c r="H161" s="2" t="str">
        <f>REPT("★", F161) &amp; REPT("☆", 5 - F161)</f>
        <v>★★★☆☆</v>
      </c>
      <c r="I161" s="7">
        <v>46062</v>
      </c>
      <c r="J161" s="2"/>
    </row>
    <row r="162" spans="1:10" ht="30.75">
      <c r="A162" s="6" t="s">
        <v>226</v>
      </c>
      <c r="B162" s="6"/>
      <c r="C162" s="2"/>
      <c r="D162" s="2" t="s">
        <v>14</v>
      </c>
      <c r="E162" s="2" t="s">
        <v>15</v>
      </c>
      <c r="F162" s="2">
        <v>2.5</v>
      </c>
      <c r="G162" s="2"/>
      <c r="H162" s="2" t="str">
        <f>REPT("★", F162) &amp; REPT("☆", 5 - F162)</f>
        <v>★★☆☆</v>
      </c>
      <c r="I162" s="7">
        <v>46071</v>
      </c>
      <c r="J162" s="2"/>
    </row>
    <row r="163" spans="1:10">
      <c r="A163" s="6" t="s">
        <v>227</v>
      </c>
      <c r="B163" s="6"/>
      <c r="C163" s="2"/>
      <c r="D163" s="2" t="s">
        <v>14</v>
      </c>
      <c r="E163" s="2" t="s">
        <v>15</v>
      </c>
      <c r="F163" s="2">
        <v>1.5</v>
      </c>
      <c r="G163" s="2"/>
      <c r="H163" s="2" t="str">
        <f>REPT("★", F163) &amp; REPT("☆", 5 - F163)</f>
        <v>★☆☆☆</v>
      </c>
      <c r="I163" s="7">
        <v>46079</v>
      </c>
      <c r="J163" s="2"/>
    </row>
    <row r="164" spans="1:10">
      <c r="A164" s="6" t="s">
        <v>210</v>
      </c>
      <c r="B164" s="6"/>
      <c r="C164" s="2"/>
      <c r="D164" s="2" t="s">
        <v>14</v>
      </c>
      <c r="E164" s="2" t="s">
        <v>15</v>
      </c>
      <c r="F164" s="2">
        <v>5</v>
      </c>
      <c r="G164" s="2"/>
      <c r="H164" s="2" t="str">
        <f>REPT("★", F164) &amp; REPT("☆", 5 - F164)</f>
        <v>★★★★★</v>
      </c>
      <c r="I164" s="7">
        <v>46122</v>
      </c>
      <c r="J164" s="2"/>
    </row>
    <row r="165" spans="1:10">
      <c r="A165" s="6" t="s">
        <v>228</v>
      </c>
      <c r="B165" s="6"/>
      <c r="C165" s="2"/>
      <c r="D165" s="2" t="s">
        <v>14</v>
      </c>
      <c r="E165" s="2" t="s">
        <v>15</v>
      </c>
      <c r="F165" s="2">
        <v>4.5</v>
      </c>
      <c r="G165" s="2"/>
      <c r="H165" s="2" t="str">
        <f>REPT("★", F165) &amp; REPT("☆", 5 - F165)</f>
        <v>★★★★</v>
      </c>
      <c r="I165" s="7">
        <v>46124</v>
      </c>
      <c r="J165" s="2"/>
    </row>
    <row r="166" spans="1:10">
      <c r="A166" s="6" t="s">
        <v>229</v>
      </c>
      <c r="B166" s="6"/>
      <c r="C166" s="2"/>
      <c r="D166" s="2" t="s">
        <v>14</v>
      </c>
      <c r="E166" s="2" t="s">
        <v>15</v>
      </c>
      <c r="F166" s="2">
        <v>4.5</v>
      </c>
      <c r="G166" s="2"/>
      <c r="H166" s="2" t="str">
        <f>REPT("★", F166) &amp; REPT("☆", 5 - F166)</f>
        <v>★★★★</v>
      </c>
      <c r="I166" s="7">
        <v>46195</v>
      </c>
      <c r="J166" s="2"/>
    </row>
    <row r="167" spans="1:10">
      <c r="A167" s="6" t="s">
        <v>230</v>
      </c>
      <c r="B167" s="6"/>
      <c r="C167" s="2"/>
      <c r="D167" s="2" t="s">
        <v>14</v>
      </c>
      <c r="E167" s="2" t="s">
        <v>15</v>
      </c>
      <c r="F167" s="2">
        <v>5</v>
      </c>
      <c r="G167" s="2"/>
      <c r="H167" s="2" t="str">
        <f>REPT("★", F167) &amp; REPT("☆", 5 - F167)</f>
        <v>★★★★★</v>
      </c>
      <c r="I167" s="3"/>
      <c r="J167" s="2"/>
    </row>
    <row r="168" spans="1:10">
      <c r="A168" s="6" t="s">
        <v>231</v>
      </c>
      <c r="B168" s="6"/>
      <c r="C168" s="2"/>
      <c r="D168" s="2" t="s">
        <v>14</v>
      </c>
      <c r="E168" s="2" t="s">
        <v>15</v>
      </c>
      <c r="F168" s="2">
        <v>2</v>
      </c>
      <c r="G168" s="2"/>
      <c r="H168" s="2" t="str">
        <f>REPT("★", F168) &amp; REPT("☆", 5 - F168)</f>
        <v>★★☆☆☆</v>
      </c>
      <c r="I168" s="3"/>
      <c r="J168" s="2"/>
    </row>
    <row r="169" spans="1:10" ht="30.75">
      <c r="A169" s="6" t="s">
        <v>232</v>
      </c>
      <c r="B169" s="6" t="s">
        <v>233</v>
      </c>
      <c r="C169" s="2" t="s">
        <v>83</v>
      </c>
      <c r="D169" s="2" t="s">
        <v>14</v>
      </c>
      <c r="E169" s="2" t="s">
        <v>15</v>
      </c>
      <c r="F169" s="2">
        <v>5</v>
      </c>
      <c r="G169" s="2"/>
      <c r="H169" s="2" t="str">
        <f>REPT("★", F169) &amp; REPT("☆", 5 - F169)</f>
        <v>★★★★★</v>
      </c>
      <c r="I169" s="3"/>
      <c r="J169" s="2"/>
    </row>
    <row r="170" spans="1:10">
      <c r="A170" s="6" t="s">
        <v>234</v>
      </c>
      <c r="B170" s="6"/>
      <c r="C170" s="2" t="s">
        <v>83</v>
      </c>
      <c r="D170" s="2" t="s">
        <v>14</v>
      </c>
      <c r="E170" s="2" t="s">
        <v>15</v>
      </c>
      <c r="F170" s="2">
        <v>0</v>
      </c>
      <c r="G170" s="2"/>
      <c r="H170" s="2" t="str">
        <f>REPT("★", F170) &amp; REPT("☆", 5 - F170)</f>
        <v>☆☆☆☆☆</v>
      </c>
      <c r="I170" s="3"/>
      <c r="J170" s="2"/>
    </row>
    <row r="171" spans="1:10">
      <c r="A171" s="6" t="s">
        <v>235</v>
      </c>
      <c r="B171" s="6"/>
      <c r="C171" s="2"/>
      <c r="D171" s="2" t="s">
        <v>14</v>
      </c>
      <c r="E171" s="2" t="s">
        <v>15</v>
      </c>
      <c r="F171" s="2">
        <v>5</v>
      </c>
      <c r="G171" s="2"/>
      <c r="H171" s="2" t="str">
        <f>REPT("★", F171) &amp; REPT("☆", 5 - F171)</f>
        <v>★★★★★</v>
      </c>
      <c r="I171" s="3"/>
      <c r="J171" s="2"/>
    </row>
    <row r="172" spans="1:10">
      <c r="A172" s="6" t="s">
        <v>236</v>
      </c>
      <c r="B172" s="6"/>
      <c r="C172" s="2"/>
      <c r="D172" s="2" t="s">
        <v>14</v>
      </c>
      <c r="E172" s="2" t="s">
        <v>15</v>
      </c>
      <c r="F172" s="2">
        <v>4.9000000000000004</v>
      </c>
      <c r="G172" s="2"/>
      <c r="H172" s="2" t="str">
        <f>REPT("★", F172) &amp; REPT("☆", 5 - F172)</f>
        <v>★★★★</v>
      </c>
      <c r="I172" s="3"/>
      <c r="J172" s="2"/>
    </row>
    <row r="173" spans="1:10">
      <c r="A173" s="6" t="s">
        <v>237</v>
      </c>
      <c r="B173" s="6"/>
      <c r="C173" s="2"/>
      <c r="D173" s="2" t="s">
        <v>14</v>
      </c>
      <c r="E173" s="2" t="s">
        <v>15</v>
      </c>
      <c r="F173" s="2">
        <v>4</v>
      </c>
      <c r="G173" s="2"/>
      <c r="H173" s="2" t="str">
        <f>REPT("★", F173) &amp; REPT("☆", 5 - F173)</f>
        <v>★★★★☆</v>
      </c>
      <c r="I173" s="3"/>
      <c r="J173" s="2"/>
    </row>
    <row r="174" spans="1:10">
      <c r="A174" s="6" t="s">
        <v>238</v>
      </c>
      <c r="B174" s="6"/>
      <c r="C174" s="2"/>
      <c r="D174" s="2" t="s">
        <v>14</v>
      </c>
      <c r="E174" s="2" t="s">
        <v>15</v>
      </c>
      <c r="F174" s="2">
        <v>3.5</v>
      </c>
      <c r="G174" s="2"/>
      <c r="H174" s="2" t="str">
        <f>REPT("★", F174) &amp; REPT("☆", 5 - F174)</f>
        <v>★★★☆</v>
      </c>
      <c r="I174" s="3"/>
      <c r="J174" s="2"/>
    </row>
    <row r="175" spans="1:10" ht="30.75">
      <c r="A175" s="6" t="s">
        <v>239</v>
      </c>
      <c r="B175" s="6"/>
      <c r="C175" s="2"/>
      <c r="D175" s="2" t="s">
        <v>14</v>
      </c>
      <c r="E175" s="2" t="s">
        <v>15</v>
      </c>
      <c r="F175" s="2">
        <v>2.5</v>
      </c>
      <c r="G175" s="2"/>
      <c r="H175" s="2" t="str">
        <f>REPT("★", F175) &amp; REPT("☆", 5 - F175)</f>
        <v>★★☆☆</v>
      </c>
      <c r="I175" s="3"/>
      <c r="J175" s="2"/>
    </row>
    <row r="176" spans="1:10">
      <c r="A176" s="6" t="s">
        <v>240</v>
      </c>
      <c r="B176" s="6" t="s">
        <v>67</v>
      </c>
      <c r="C176" s="2"/>
      <c r="D176" s="2" t="s">
        <v>14</v>
      </c>
      <c r="E176" s="2" t="s">
        <v>19</v>
      </c>
      <c r="F176" s="2">
        <v>4</v>
      </c>
      <c r="G176" s="2">
        <v>368</v>
      </c>
      <c r="H176" s="2" t="str">
        <f>REPT("★", F176) &amp; REPT("☆", 5 - F176)</f>
        <v>★★★★☆</v>
      </c>
      <c r="I176" s="7"/>
      <c r="J176" s="2"/>
    </row>
    <row r="177" spans="1:10">
      <c r="A177" s="6" t="s">
        <v>241</v>
      </c>
      <c r="B177" s="6" t="s">
        <v>242</v>
      </c>
      <c r="C177" s="2" t="s">
        <v>63</v>
      </c>
      <c r="D177" s="2" t="s">
        <v>14</v>
      </c>
      <c r="E177" s="2" t="s">
        <v>19</v>
      </c>
      <c r="F177" s="2">
        <v>4</v>
      </c>
      <c r="G177" s="2">
        <v>255</v>
      </c>
      <c r="H177" s="2" t="str">
        <f>REPT("★", F177) &amp; REPT("☆", 5 - F177)</f>
        <v>★★★★☆</v>
      </c>
      <c r="I177" s="7"/>
      <c r="J177" s="2"/>
    </row>
    <row r="178" spans="1:10">
      <c r="A178" s="6" t="s">
        <v>243</v>
      </c>
      <c r="B178" s="6" t="s">
        <v>242</v>
      </c>
      <c r="C178" s="2" t="s">
        <v>63</v>
      </c>
      <c r="D178" s="2" t="s">
        <v>14</v>
      </c>
      <c r="E178" s="2" t="s">
        <v>19</v>
      </c>
      <c r="F178" s="2">
        <v>4</v>
      </c>
      <c r="G178" s="2">
        <v>256</v>
      </c>
      <c r="H178" s="2" t="str">
        <f>REPT("★", F178) &amp; REPT("☆", 5 - F178)</f>
        <v>★★★★☆</v>
      </c>
      <c r="I178" s="7"/>
      <c r="J178" s="2"/>
    </row>
    <row r="179" spans="1:10">
      <c r="A179" s="6" t="s">
        <v>244</v>
      </c>
      <c r="B179" s="6" t="s">
        <v>245</v>
      </c>
      <c r="C179" s="2"/>
      <c r="D179" s="2" t="s">
        <v>14</v>
      </c>
      <c r="E179" s="2" t="s">
        <v>19</v>
      </c>
      <c r="F179" s="2">
        <v>5</v>
      </c>
      <c r="G179" s="2">
        <v>181</v>
      </c>
      <c r="H179" s="2" t="str">
        <f>REPT("★", F179) &amp; REPT("☆", 5 - F179)</f>
        <v>★★★★★</v>
      </c>
      <c r="I179" s="7"/>
      <c r="J179" s="2" t="s">
        <v>246</v>
      </c>
    </row>
    <row r="180" spans="1:10">
      <c r="A180" s="6" t="s">
        <v>247</v>
      </c>
      <c r="B180" s="6" t="s">
        <v>242</v>
      </c>
      <c r="C180" s="2" t="s">
        <v>63</v>
      </c>
      <c r="D180" s="2" t="s">
        <v>14</v>
      </c>
      <c r="E180" s="2" t="s">
        <v>19</v>
      </c>
      <c r="F180" s="2">
        <v>3</v>
      </c>
      <c r="G180" s="2">
        <v>280</v>
      </c>
      <c r="H180" s="2" t="str">
        <f>REPT("★", F180) &amp; REPT("☆", 5 - F180)</f>
        <v>★★★☆☆</v>
      </c>
      <c r="I180" s="7"/>
      <c r="J180" s="2"/>
    </row>
    <row r="181" spans="1:10">
      <c r="A181" s="6" t="s">
        <v>248</v>
      </c>
      <c r="B181" s="6" t="s">
        <v>242</v>
      </c>
      <c r="C181" s="2" t="s">
        <v>63</v>
      </c>
      <c r="D181" s="2" t="s">
        <v>14</v>
      </c>
      <c r="E181" s="2" t="s">
        <v>19</v>
      </c>
      <c r="F181" s="2"/>
      <c r="G181" s="2">
        <v>248</v>
      </c>
      <c r="H181" s="2" t="str">
        <f>REPT("★", F181) &amp; REPT("☆", 5 - F181)</f>
        <v>☆☆☆☆☆</v>
      </c>
      <c r="I181" s="7"/>
      <c r="J181" s="2"/>
    </row>
    <row r="182" spans="1:10" ht="30.75">
      <c r="A182" s="6" t="s">
        <v>249</v>
      </c>
      <c r="B182" s="6" t="s">
        <v>250</v>
      </c>
      <c r="C182" s="2" t="s">
        <v>36</v>
      </c>
      <c r="D182" s="2" t="s">
        <v>14</v>
      </c>
      <c r="E182" s="2" t="s">
        <v>19</v>
      </c>
      <c r="F182" s="2">
        <v>5</v>
      </c>
      <c r="G182" s="2">
        <v>400</v>
      </c>
      <c r="H182" s="2" t="str">
        <f>REPT("★", F182) &amp; REPT("☆", 5 - F182)</f>
        <v>★★★★★</v>
      </c>
      <c r="I182" s="7"/>
      <c r="J182" s="2"/>
    </row>
    <row r="183" spans="1:10" ht="30.75">
      <c r="A183" s="6" t="s">
        <v>251</v>
      </c>
      <c r="B183" s="6" t="s">
        <v>250</v>
      </c>
      <c r="C183" s="2" t="s">
        <v>36</v>
      </c>
      <c r="D183" s="2" t="s">
        <v>14</v>
      </c>
      <c r="E183" s="2" t="s">
        <v>19</v>
      </c>
      <c r="F183" s="2">
        <v>4</v>
      </c>
      <c r="G183" s="2">
        <v>402</v>
      </c>
      <c r="H183" s="2" t="str">
        <f>REPT("★", F183) &amp; REPT("☆", 5 - F183)</f>
        <v>★★★★☆</v>
      </c>
      <c r="I183" s="7"/>
      <c r="J183" s="2"/>
    </row>
    <row r="184" spans="1:10" ht="30.75">
      <c r="A184" s="6" t="s">
        <v>252</v>
      </c>
      <c r="B184" s="6" t="s">
        <v>253</v>
      </c>
      <c r="C184" s="2" t="s">
        <v>18</v>
      </c>
      <c r="D184" s="2" t="s">
        <v>14</v>
      </c>
      <c r="E184" s="2" t="s">
        <v>19</v>
      </c>
      <c r="F184" s="2">
        <v>4</v>
      </c>
      <c r="G184" s="2">
        <v>336</v>
      </c>
      <c r="H184" s="2" t="str">
        <f>REPT("★", F184) &amp; REPT("☆", 5 - F184)</f>
        <v>★★★★☆</v>
      </c>
      <c r="I184" s="7"/>
      <c r="J184" s="2"/>
    </row>
    <row r="185" spans="1:10">
      <c r="A185" s="6" t="s">
        <v>254</v>
      </c>
      <c r="B185" s="6" t="s">
        <v>255</v>
      </c>
      <c r="C185" s="2" t="s">
        <v>18</v>
      </c>
      <c r="D185" s="2" t="s">
        <v>14</v>
      </c>
      <c r="E185" s="2" t="s">
        <v>19</v>
      </c>
      <c r="F185" s="2">
        <v>5</v>
      </c>
      <c r="G185" s="2">
        <v>280</v>
      </c>
      <c r="H185" s="2" t="str">
        <f>REPT("★", F185) &amp; REPT("☆", 5 - F185)</f>
        <v>★★★★★</v>
      </c>
      <c r="I185" s="7"/>
      <c r="J185" s="2"/>
    </row>
    <row r="186" spans="1:10">
      <c r="A186" s="6" t="s">
        <v>256</v>
      </c>
      <c r="B186" s="6" t="s">
        <v>257</v>
      </c>
      <c r="C186" s="2" t="s">
        <v>18</v>
      </c>
      <c r="D186" s="2" t="s">
        <v>14</v>
      </c>
      <c r="E186" s="2" t="s">
        <v>19</v>
      </c>
      <c r="F186" s="2">
        <v>4</v>
      </c>
      <c r="G186" s="2">
        <v>176</v>
      </c>
      <c r="H186" s="2" t="str">
        <f>REPT("★", F186) &amp; REPT("☆", 5 - F186)</f>
        <v>★★★★☆</v>
      </c>
      <c r="I186" s="7"/>
      <c r="J186" s="2"/>
    </row>
    <row r="187" spans="1:10">
      <c r="A187" s="6" t="s">
        <v>258</v>
      </c>
      <c r="B187" s="6" t="s">
        <v>128</v>
      </c>
      <c r="C187" s="2" t="s">
        <v>259</v>
      </c>
      <c r="D187" s="2" t="s">
        <v>14</v>
      </c>
      <c r="E187" s="2" t="s">
        <v>19</v>
      </c>
      <c r="F187" s="2">
        <v>5</v>
      </c>
      <c r="G187" s="2">
        <v>272</v>
      </c>
      <c r="H187" s="2" t="str">
        <f>REPT("★", F187) &amp; REPT("☆", 5 - F187)</f>
        <v>★★★★★</v>
      </c>
      <c r="I187" s="7"/>
      <c r="J187" s="2"/>
    </row>
    <row r="188" spans="1:10" ht="30.75">
      <c r="A188" s="6" t="s">
        <v>260</v>
      </c>
      <c r="B188" s="6" t="s">
        <v>261</v>
      </c>
      <c r="C188" s="2" t="s">
        <v>262</v>
      </c>
      <c r="D188" s="2" t="s">
        <v>14</v>
      </c>
      <c r="E188" s="2" t="s">
        <v>19</v>
      </c>
      <c r="F188" s="2">
        <v>5</v>
      </c>
      <c r="G188" s="2">
        <v>96</v>
      </c>
      <c r="H188" s="2" t="str">
        <f>REPT("★", F188) &amp; REPT("☆", 5 - F188)</f>
        <v>★★★★★</v>
      </c>
      <c r="I188" s="7"/>
      <c r="J188" s="2"/>
    </row>
    <row r="189" spans="1:10" ht="30.75">
      <c r="A189" s="6" t="s">
        <v>263</v>
      </c>
      <c r="B189" s="6" t="s">
        <v>264</v>
      </c>
      <c r="C189" s="2"/>
      <c r="D189" s="2" t="s">
        <v>14</v>
      </c>
      <c r="E189" s="2" t="s">
        <v>19</v>
      </c>
      <c r="F189" s="2">
        <v>5</v>
      </c>
      <c r="G189" s="2">
        <v>208</v>
      </c>
      <c r="H189" s="2" t="str">
        <f>REPT("★", F189) &amp; REPT("☆", 5 - F189)</f>
        <v>★★★★★</v>
      </c>
      <c r="I189" s="7"/>
      <c r="J189" s="2"/>
    </row>
    <row r="190" spans="1:10">
      <c r="A190" s="6" t="s">
        <v>265</v>
      </c>
      <c r="B190" s="6"/>
      <c r="C190" s="2" t="s">
        <v>266</v>
      </c>
      <c r="D190" s="2" t="s">
        <v>14</v>
      </c>
      <c r="E190" s="2" t="s">
        <v>15</v>
      </c>
      <c r="F190" s="2">
        <v>4</v>
      </c>
      <c r="G190" s="2">
        <v>60</v>
      </c>
      <c r="H190" s="2" t="str">
        <f>REPT("★", F190) &amp; REPT("☆", 5 - F190)</f>
        <v>★★★★☆</v>
      </c>
      <c r="I190" s="7"/>
      <c r="J190" s="2"/>
    </row>
    <row r="191" spans="1:10" ht="30.75">
      <c r="A191" s="6" t="s">
        <v>267</v>
      </c>
      <c r="B191" s="6" t="s">
        <v>268</v>
      </c>
      <c r="C191" s="2" t="s">
        <v>269</v>
      </c>
      <c r="D191" s="2" t="s">
        <v>14</v>
      </c>
      <c r="E191" s="2" t="s">
        <v>19</v>
      </c>
      <c r="F191" s="2">
        <v>2.5</v>
      </c>
      <c r="G191" s="2">
        <v>144</v>
      </c>
      <c r="H191" s="2" t="str">
        <f>REPT("★", F191) &amp; REPT("☆", 5 - F191)</f>
        <v>★★☆☆</v>
      </c>
      <c r="I191" s="7"/>
      <c r="J191" s="2"/>
    </row>
    <row r="192" spans="1:10" ht="30.75">
      <c r="A192" s="6" t="s">
        <v>270</v>
      </c>
      <c r="B192" s="6"/>
      <c r="C192" s="2"/>
      <c r="D192" s="2" t="s">
        <v>14</v>
      </c>
      <c r="E192" s="2" t="s">
        <v>15</v>
      </c>
      <c r="F192" s="2">
        <v>4.9000000000000004</v>
      </c>
      <c r="G192" s="2"/>
      <c r="H192" s="2" t="str">
        <f>REPT("★", F192) &amp; REPT("☆", 5 - F192)</f>
        <v>★★★★</v>
      </c>
      <c r="I192" s="7"/>
      <c r="J192" s="2"/>
    </row>
    <row r="193" spans="1:10" ht="30.75">
      <c r="A193" s="6" t="s">
        <v>271</v>
      </c>
      <c r="B193" s="6" t="s">
        <v>272</v>
      </c>
      <c r="C193" s="2"/>
      <c r="D193" s="2" t="s">
        <v>14</v>
      </c>
      <c r="E193" s="2" t="s">
        <v>19</v>
      </c>
      <c r="F193" s="2">
        <v>5</v>
      </c>
      <c r="G193" s="2">
        <v>519</v>
      </c>
      <c r="H193" s="2" t="str">
        <f>REPT("★", F193) &amp; REPT("☆", 5 - F193)</f>
        <v>★★★★★</v>
      </c>
      <c r="I193" s="7">
        <v>46259</v>
      </c>
      <c r="J193" s="2" t="s">
        <v>273</v>
      </c>
    </row>
    <row r="194" spans="1:10">
      <c r="A194" s="6" t="s">
        <v>274</v>
      </c>
      <c r="B194" s="6" t="s">
        <v>275</v>
      </c>
      <c r="C194" s="2"/>
      <c r="D194" s="2" t="s">
        <v>276</v>
      </c>
      <c r="E194" s="2" t="s">
        <v>19</v>
      </c>
      <c r="F194" s="2"/>
      <c r="G194" s="2"/>
      <c r="H194" s="2" t="str">
        <f>REPT("★", F194) &amp; REPT("☆", 5 - F194)</f>
        <v>☆☆☆☆☆</v>
      </c>
      <c r="I194" s="7"/>
      <c r="J194" s="2"/>
    </row>
    <row r="195" spans="1:10" ht="30.75">
      <c r="A195" s="6" t="s">
        <v>277</v>
      </c>
      <c r="B195" s="6" t="s">
        <v>278</v>
      </c>
      <c r="C195" s="2" t="s">
        <v>279</v>
      </c>
      <c r="D195" s="2" t="s">
        <v>276</v>
      </c>
      <c r="E195" s="2" t="s">
        <v>19</v>
      </c>
      <c r="F195" s="2"/>
      <c r="G195" s="2"/>
      <c r="H195" s="2" t="str">
        <f>REPT("★", F195) &amp; REPT("☆", 5 - F195)</f>
        <v>☆☆☆☆☆</v>
      </c>
      <c r="I195" s="7"/>
      <c r="J195" s="2"/>
    </row>
    <row r="196" spans="1:10" ht="30.75">
      <c r="A196" s="6" t="s">
        <v>280</v>
      </c>
      <c r="B196" s="6" t="s">
        <v>272</v>
      </c>
      <c r="C196" s="2"/>
      <c r="D196" s="2" t="s">
        <v>276</v>
      </c>
      <c r="E196" s="2" t="s">
        <v>19</v>
      </c>
      <c r="F196" s="2"/>
      <c r="G196" s="2"/>
      <c r="H196" s="2" t="str">
        <f>REPT("★", F196) &amp; REPT("☆", 5 - F196)</f>
        <v>☆☆☆☆☆</v>
      </c>
      <c r="I196" s="7"/>
      <c r="J196" s="2"/>
    </row>
    <row r="197" spans="1:10" ht="30.75">
      <c r="A197" s="6" t="s">
        <v>281</v>
      </c>
      <c r="B197" s="6" t="s">
        <v>272</v>
      </c>
      <c r="C197" s="2"/>
      <c r="D197" s="2" t="s">
        <v>282</v>
      </c>
      <c r="E197" s="2" t="s">
        <v>19</v>
      </c>
      <c r="F197" s="2"/>
      <c r="G197" s="2"/>
      <c r="H197" s="2" t="str">
        <f>REPT("★", F197) &amp; REPT("☆", 5 - F197)</f>
        <v>☆☆☆☆☆</v>
      </c>
      <c r="I197" s="7"/>
      <c r="J197" s="2"/>
    </row>
    <row r="198" spans="1:10" ht="30.75">
      <c r="A198" s="6" t="s">
        <v>283</v>
      </c>
      <c r="B198" s="6"/>
      <c r="C198" s="2" t="s">
        <v>279</v>
      </c>
      <c r="D198" s="2" t="s">
        <v>282</v>
      </c>
      <c r="E198" s="2" t="s">
        <v>19</v>
      </c>
      <c r="F198" s="2"/>
      <c r="G198" s="2"/>
      <c r="H198" s="2" t="str">
        <f>REPT("★", F198) &amp; REPT("☆", 5 - F198)</f>
        <v>☆☆☆☆☆</v>
      </c>
      <c r="I198" s="7"/>
      <c r="J198" s="2"/>
    </row>
    <row r="199" spans="1:10">
      <c r="A199" s="6" t="s">
        <v>284</v>
      </c>
      <c r="B199" s="6" t="s">
        <v>285</v>
      </c>
      <c r="C199" s="2" t="s">
        <v>279</v>
      </c>
      <c r="D199" s="2" t="s">
        <v>282</v>
      </c>
      <c r="E199" s="2" t="s">
        <v>19</v>
      </c>
      <c r="F199" s="2"/>
      <c r="G199" s="2"/>
      <c r="H199" s="2" t="str">
        <f>REPT("★", F199) &amp; REPT("☆", 5 - F199)</f>
        <v>☆☆☆☆☆</v>
      </c>
      <c r="I199" s="7"/>
      <c r="J199" s="2"/>
    </row>
    <row r="200" spans="1:10">
      <c r="A200" s="6" t="s">
        <v>286</v>
      </c>
      <c r="B200" s="6" t="s">
        <v>285</v>
      </c>
      <c r="C200" s="2" t="s">
        <v>279</v>
      </c>
      <c r="D200" s="2" t="s">
        <v>282</v>
      </c>
      <c r="E200" s="2" t="s">
        <v>19</v>
      </c>
      <c r="F200" s="2"/>
      <c r="G200" s="2"/>
      <c r="H200" s="2" t="str">
        <f>REPT("★", F200) &amp; REPT("☆", 5 - F200)</f>
        <v>☆☆☆☆☆</v>
      </c>
      <c r="I200" s="7"/>
      <c r="J200" s="2"/>
    </row>
    <row r="201" spans="1:10" ht="30.75">
      <c r="A201" s="6" t="s">
        <v>287</v>
      </c>
      <c r="B201" s="6" t="s">
        <v>285</v>
      </c>
      <c r="C201" s="2" t="s">
        <v>279</v>
      </c>
      <c r="D201" s="2" t="s">
        <v>282</v>
      </c>
      <c r="E201" s="2" t="s">
        <v>19</v>
      </c>
      <c r="F201" s="2"/>
      <c r="G201" s="2"/>
      <c r="H201" s="2" t="str">
        <f>REPT("★", F201) &amp; REPT("☆", 5 - F201)</f>
        <v>☆☆☆☆☆</v>
      </c>
      <c r="I201" s="7"/>
      <c r="J201" s="2"/>
    </row>
    <row r="202" spans="1:10" ht="30.75">
      <c r="A202" s="6" t="s">
        <v>288</v>
      </c>
      <c r="B202" s="6" t="s">
        <v>285</v>
      </c>
      <c r="C202" s="2" t="s">
        <v>279</v>
      </c>
      <c r="D202" s="2" t="s">
        <v>282</v>
      </c>
      <c r="E202" s="2" t="s">
        <v>19</v>
      </c>
      <c r="F202" s="2"/>
      <c r="G202" s="2"/>
      <c r="H202" s="2" t="str">
        <f>REPT("★", F202) &amp; REPT("☆", 5 - F202)</f>
        <v>☆☆☆☆☆</v>
      </c>
      <c r="I202" s="7"/>
      <c r="J202" s="2"/>
    </row>
    <row r="203" spans="1:10" ht="45.75">
      <c r="A203" s="6" t="s">
        <v>289</v>
      </c>
      <c r="B203" s="6" t="s">
        <v>278</v>
      </c>
      <c r="C203" s="2" t="s">
        <v>279</v>
      </c>
      <c r="D203" s="2" t="s">
        <v>282</v>
      </c>
      <c r="E203" s="2" t="s">
        <v>19</v>
      </c>
      <c r="F203" s="2"/>
      <c r="G203" s="2"/>
      <c r="H203" s="2" t="str">
        <f>REPT("★", F203) &amp; REPT("☆", 5 - F203)</f>
        <v>☆☆☆☆☆</v>
      </c>
      <c r="I203" s="7"/>
      <c r="J203" s="2"/>
    </row>
    <row r="204" spans="1:10">
      <c r="A204" s="6"/>
      <c r="B204" s="6"/>
      <c r="C204" s="2"/>
      <c r="D204" s="2"/>
      <c r="E204" s="2"/>
      <c r="F204" s="2"/>
      <c r="G204" s="2"/>
      <c r="H204" s="2" t="str">
        <f>REPT("★", F204) &amp; REPT("☆", 5 - F204)</f>
        <v>☆☆☆☆☆</v>
      </c>
      <c r="I204" s="7"/>
      <c r="J204" s="2"/>
    </row>
    <row r="205" spans="1:10">
      <c r="A205" s="6"/>
      <c r="B205" s="6"/>
      <c r="C205" s="2"/>
      <c r="D205" s="2"/>
      <c r="E205" s="2"/>
      <c r="F205" s="2"/>
      <c r="G205" s="2"/>
      <c r="H205" s="2" t="str">
        <f>REPT("★", F205) &amp; REPT("☆", 5 - F205)</f>
        <v>☆☆☆☆☆</v>
      </c>
      <c r="I205" s="7"/>
      <c r="J205" s="2"/>
    </row>
    <row r="206" spans="1:10">
      <c r="A206" s="6"/>
      <c r="B206" s="6"/>
      <c r="C206" s="2"/>
      <c r="D206" s="2"/>
      <c r="E206" s="2"/>
      <c r="F206" s="2"/>
      <c r="G206" s="2"/>
      <c r="H206" s="2" t="str">
        <f>REPT("★", F206) &amp; REPT("☆", 5 - F206)</f>
        <v>☆☆☆☆☆</v>
      </c>
      <c r="I206" s="7"/>
      <c r="J206" s="2"/>
    </row>
    <row r="207" spans="1:10">
      <c r="A207" s="6"/>
      <c r="B207" s="6"/>
      <c r="C207" s="2"/>
      <c r="D207" s="2"/>
      <c r="E207" s="2"/>
      <c r="F207" s="2"/>
      <c r="G207" s="2"/>
      <c r="H207" s="2" t="str">
        <f>REPT("★", F207) &amp; REPT("☆", 5 - F207)</f>
        <v>☆☆☆☆☆</v>
      </c>
      <c r="I207" s="7"/>
      <c r="J207" s="2"/>
    </row>
    <row r="208" spans="1:10">
      <c r="A208" s="6"/>
      <c r="B208" s="6"/>
      <c r="C208" s="2"/>
      <c r="D208" s="2"/>
      <c r="E208" s="2"/>
      <c r="F208" s="2"/>
      <c r="G208" s="2"/>
      <c r="H208" s="2" t="str">
        <f>REPT("★", F208) &amp; REPT("☆", 5 - F208)</f>
        <v>☆☆☆☆☆</v>
      </c>
      <c r="I208" s="7"/>
      <c r="J208" s="2"/>
    </row>
    <row r="209" spans="1:10">
      <c r="A209" s="6"/>
      <c r="B209" s="6"/>
      <c r="C209" s="2"/>
      <c r="D209" s="2"/>
      <c r="E209" s="2"/>
      <c r="F209" s="2"/>
      <c r="G209" s="2"/>
      <c r="H209" s="2" t="str">
        <f>REPT("★", F209) &amp; REPT("☆", 5 - F209)</f>
        <v>☆☆☆☆☆</v>
      </c>
      <c r="I209" s="7"/>
      <c r="J209" s="2"/>
    </row>
    <row r="210" spans="1:10">
      <c r="A210" s="6"/>
      <c r="B210" s="6"/>
      <c r="C210" s="2"/>
      <c r="D210" s="2"/>
      <c r="E210" s="2"/>
      <c r="F210" s="2"/>
      <c r="G210" s="2"/>
      <c r="H210" s="2" t="str">
        <f>REPT("★", F210) &amp; REPT("☆", 5 - F210)</f>
        <v>☆☆☆☆☆</v>
      </c>
      <c r="I210" s="7"/>
      <c r="J210" s="2"/>
    </row>
    <row r="211" spans="1:10">
      <c r="A211" s="6"/>
      <c r="B211" s="6"/>
      <c r="C211" s="2"/>
      <c r="D211" s="2"/>
      <c r="E211" s="2"/>
      <c r="F211" s="2"/>
      <c r="G211" s="2"/>
      <c r="H211" s="2" t="str">
        <f>REPT("★", F211) &amp; REPT("☆", 5 - F211)</f>
        <v>☆☆☆☆☆</v>
      </c>
      <c r="I211" s="7"/>
      <c r="J211" s="2"/>
    </row>
    <row r="212" spans="1:10">
      <c r="A212" s="6"/>
      <c r="B212" s="6"/>
      <c r="C212" s="2"/>
      <c r="D212" s="2"/>
      <c r="E212" s="2"/>
      <c r="F212" s="2"/>
      <c r="G212" s="2"/>
      <c r="H212" s="2" t="str">
        <f>REPT("★", F212) &amp; REPT("☆", 5 - F212)</f>
        <v>☆☆☆☆☆</v>
      </c>
      <c r="I212" s="7"/>
      <c r="J212" s="2"/>
    </row>
    <row r="213" spans="1:10">
      <c r="A213" s="6"/>
      <c r="B213" s="6"/>
      <c r="C213" s="2"/>
      <c r="D213" s="2"/>
      <c r="E213" s="2"/>
      <c r="F213" s="2"/>
      <c r="G213" s="2"/>
      <c r="H213" s="2" t="str">
        <f>REPT("★", F213) &amp; REPT("☆", 5 - F213)</f>
        <v>☆☆☆☆☆</v>
      </c>
      <c r="I213" s="7"/>
      <c r="J213" s="2"/>
    </row>
    <row r="214" spans="1:10">
      <c r="A214" s="6"/>
      <c r="B214" s="6"/>
      <c r="C214" s="2"/>
      <c r="D214" s="2"/>
      <c r="E214" s="2"/>
      <c r="F214" s="2"/>
      <c r="G214" s="2"/>
      <c r="H214" s="2" t="str">
        <f>REPT("★", F214) &amp; REPT("☆", 5 - F214)</f>
        <v>☆☆☆☆☆</v>
      </c>
      <c r="I214" s="7"/>
      <c r="J214" s="2"/>
    </row>
    <row r="215" spans="1:10">
      <c r="A215" s="6"/>
      <c r="B215" s="6"/>
      <c r="C215" s="2"/>
      <c r="D215" s="2"/>
      <c r="E215" s="2"/>
      <c r="F215" s="2"/>
      <c r="G215" s="2"/>
      <c r="H215" s="2" t="str">
        <f>REPT("★", F215) &amp; REPT("☆", 5 - F215)</f>
        <v>☆☆☆☆☆</v>
      </c>
      <c r="I215" s="7"/>
      <c r="J215" s="2"/>
    </row>
    <row r="216" spans="1:10">
      <c r="A216" s="6"/>
      <c r="B216" s="6"/>
      <c r="C216" s="2"/>
      <c r="D216" s="2"/>
      <c r="E216" s="2"/>
      <c r="F216" s="2"/>
      <c r="G216" s="2"/>
      <c r="H216" s="2" t="str">
        <f>REPT("★", F216) &amp; REPT("☆", 5 - F216)</f>
        <v>☆☆☆☆☆</v>
      </c>
      <c r="I216" s="7"/>
      <c r="J216" s="2"/>
    </row>
    <row r="217" spans="1:10">
      <c r="A217" s="6"/>
      <c r="B217" s="6"/>
      <c r="C217" s="2"/>
      <c r="D217" s="2"/>
      <c r="E217" s="2"/>
      <c r="F217" s="2"/>
      <c r="G217" s="2"/>
      <c r="H217" s="2" t="str">
        <f>REPT("★", F217) &amp; REPT("☆", 5 - F217)</f>
        <v>☆☆☆☆☆</v>
      </c>
      <c r="I217" s="7"/>
      <c r="J217" s="2"/>
    </row>
    <row r="218" spans="1:10">
      <c r="A218" s="6"/>
      <c r="B218" s="6"/>
      <c r="C218" s="2"/>
      <c r="D218" s="2"/>
      <c r="E218" s="2"/>
      <c r="F218" s="2"/>
      <c r="G218" s="2"/>
      <c r="H218" s="2" t="str">
        <f>REPT("★", F218) &amp; REPT("☆", 5 - F218)</f>
        <v>☆☆☆☆☆</v>
      </c>
      <c r="I218" s="7"/>
      <c r="J218" s="2"/>
    </row>
    <row r="219" spans="1:10">
      <c r="A219" s="6"/>
      <c r="B219" s="6"/>
      <c r="C219" s="2"/>
      <c r="D219" s="2"/>
      <c r="E219" s="2"/>
      <c r="F219" s="2"/>
      <c r="G219" s="2"/>
      <c r="H219" s="2" t="str">
        <f>REPT("★", F219) &amp; REPT("☆", 5 - F219)</f>
        <v>☆☆☆☆☆</v>
      </c>
      <c r="I219" s="7"/>
      <c r="J219" s="2"/>
    </row>
    <row r="220" spans="1:10">
      <c r="A220" s="6"/>
      <c r="B220" s="6"/>
      <c r="C220" s="2"/>
      <c r="D220" s="2"/>
      <c r="E220" s="2"/>
      <c r="F220" s="2"/>
      <c r="G220" s="2"/>
      <c r="H220" s="2" t="str">
        <f>REPT("★", F220) &amp; REPT("☆", 5 - F220)</f>
        <v>☆☆☆☆☆</v>
      </c>
      <c r="I220" s="7"/>
      <c r="J220" s="2"/>
    </row>
    <row r="221" spans="1:10">
      <c r="A221" s="6"/>
      <c r="B221" s="6"/>
      <c r="C221" s="2"/>
      <c r="D221" s="2"/>
      <c r="E221" s="2"/>
      <c r="F221" s="2"/>
      <c r="G221" s="2"/>
      <c r="H221" s="2" t="str">
        <f>REPT("★", F221) &amp; REPT("☆", 5 - F221)</f>
        <v>☆☆☆☆☆</v>
      </c>
      <c r="I221" s="7"/>
      <c r="J221" s="2"/>
    </row>
    <row r="222" spans="1:10">
      <c r="A222" s="6"/>
      <c r="B222" s="6"/>
      <c r="C222" s="2"/>
      <c r="D222" s="2"/>
      <c r="E222" s="2"/>
      <c r="F222" s="2"/>
      <c r="G222" s="2"/>
      <c r="H222" s="2" t="str">
        <f>REPT("★", F222) &amp; REPT("☆", 5 - F222)</f>
        <v>☆☆☆☆☆</v>
      </c>
      <c r="I222" s="7"/>
      <c r="J222" s="2"/>
    </row>
    <row r="223" spans="1:10">
      <c r="A223" s="6"/>
      <c r="B223" s="6"/>
      <c r="C223" s="2"/>
      <c r="D223" s="2"/>
      <c r="E223" s="2"/>
      <c r="F223" s="2"/>
      <c r="G223" s="2"/>
      <c r="H223" s="2" t="str">
        <f>REPT("★", F223) &amp; REPT("☆", 5 - F223)</f>
        <v>☆☆☆☆☆</v>
      </c>
      <c r="I223" s="7"/>
      <c r="J223" s="2"/>
    </row>
    <row r="224" spans="1:10">
      <c r="A224" s="6"/>
      <c r="B224" s="6"/>
      <c r="C224" s="2"/>
      <c r="D224" s="2"/>
      <c r="E224" s="2"/>
      <c r="F224" s="2"/>
      <c r="G224" s="2"/>
      <c r="H224" s="2" t="str">
        <f>REPT("★", F224) &amp; REPT("☆", 5 - F224)</f>
        <v>☆☆☆☆☆</v>
      </c>
      <c r="I224" s="7"/>
      <c r="J224" s="2"/>
    </row>
    <row r="225" spans="1:10">
      <c r="A225" s="6"/>
      <c r="B225" s="6"/>
      <c r="C225" s="2"/>
      <c r="D225" s="2"/>
      <c r="E225" s="2"/>
      <c r="F225" s="2"/>
      <c r="G225" s="2"/>
      <c r="H225" s="2" t="str">
        <f>REPT("★", F225) &amp; REPT("☆", 5 - F225)</f>
        <v>☆☆☆☆☆</v>
      </c>
      <c r="I225" s="7"/>
      <c r="J225" s="2"/>
    </row>
    <row r="226" spans="1:10">
      <c r="A226" s="6"/>
      <c r="B226" s="6"/>
      <c r="C226" s="2"/>
      <c r="D226" s="2"/>
      <c r="E226" s="2"/>
      <c r="F226" s="2"/>
      <c r="G226" s="2"/>
      <c r="H226" s="2" t="str">
        <f>REPT("★", F226) &amp; REPT("☆", 5 - F226)</f>
        <v>☆☆☆☆☆</v>
      </c>
      <c r="I226" s="7"/>
      <c r="J226" s="2"/>
    </row>
    <row r="227" spans="1:10">
      <c r="A227" s="6"/>
      <c r="B227" s="6"/>
      <c r="C227" s="2"/>
      <c r="D227" s="2"/>
      <c r="E227" s="2"/>
      <c r="F227" s="2"/>
      <c r="G227" s="2"/>
      <c r="H227" s="2" t="str">
        <f>REPT("★", F227) &amp; REPT("☆", 5 - F227)</f>
        <v>☆☆☆☆☆</v>
      </c>
      <c r="I227" s="7"/>
      <c r="J227" s="2"/>
    </row>
    <row r="228" spans="1:10">
      <c r="A228" s="6"/>
      <c r="B228" s="6"/>
      <c r="C228" s="2"/>
      <c r="D228" s="2"/>
      <c r="E228" s="2"/>
      <c r="F228" s="2"/>
      <c r="G228" s="2"/>
      <c r="H228" s="2" t="str">
        <f>REPT("★", F228) &amp; REPT("☆", 5 - F228)</f>
        <v>☆☆☆☆☆</v>
      </c>
      <c r="I228" s="7"/>
      <c r="J228" s="2"/>
    </row>
    <row r="229" spans="1:10">
      <c r="A229" s="6"/>
      <c r="B229" s="6"/>
      <c r="C229" s="2"/>
      <c r="D229" s="2"/>
      <c r="E229" s="2"/>
      <c r="F229" s="2"/>
      <c r="G229" s="2"/>
      <c r="H229" s="2" t="str">
        <f>REPT("★", F229) &amp; REPT("☆", 5 - F229)</f>
        <v>☆☆☆☆☆</v>
      </c>
      <c r="I229" s="7"/>
      <c r="J229" s="2"/>
    </row>
    <row r="230" spans="1:10">
      <c r="A230" s="6"/>
      <c r="B230" s="6"/>
      <c r="C230" s="2"/>
      <c r="D230" s="2"/>
      <c r="E230" s="2"/>
      <c r="F230" s="2"/>
      <c r="G230" s="2"/>
      <c r="H230" s="2" t="str">
        <f>REPT("★", F230) &amp; REPT("☆", 5 - F230)</f>
        <v>☆☆☆☆☆</v>
      </c>
      <c r="I230" s="7"/>
      <c r="J230" s="2"/>
    </row>
    <row r="231" spans="1:10">
      <c r="A231" s="6"/>
      <c r="B231" s="6"/>
      <c r="C231" s="2"/>
      <c r="D231" s="2"/>
      <c r="E231" s="2"/>
      <c r="F231" s="2"/>
      <c r="G231" s="2"/>
      <c r="H231" s="2" t="str">
        <f>REPT("★", F231) &amp; REPT("☆", 5 - F231)</f>
        <v>☆☆☆☆☆</v>
      </c>
      <c r="I231" s="7"/>
      <c r="J231" s="2"/>
    </row>
    <row r="232" spans="1:10">
      <c r="A232" s="6"/>
      <c r="B232" s="6"/>
      <c r="C232" s="2"/>
      <c r="D232" s="2"/>
      <c r="E232" s="2"/>
      <c r="F232" s="2"/>
      <c r="G232" s="2"/>
      <c r="H232" s="2" t="str">
        <f>REPT("★", F232) &amp; REPT("☆", 5 - F232)</f>
        <v>☆☆☆☆☆</v>
      </c>
      <c r="I232" s="7"/>
      <c r="J232" s="2"/>
    </row>
    <row r="233" spans="1:10">
      <c r="A233" s="6"/>
      <c r="B233" s="6"/>
      <c r="C233" s="2"/>
      <c r="D233" s="2"/>
      <c r="E233" s="2"/>
      <c r="F233" s="2"/>
      <c r="G233" s="2"/>
      <c r="H233" s="2" t="str">
        <f>REPT("★", F233) &amp; REPT("☆", 5 - F233)</f>
        <v>☆☆☆☆☆</v>
      </c>
      <c r="I233" s="7"/>
      <c r="J233" s="2"/>
    </row>
    <row r="234" spans="1:10">
      <c r="A234" s="6"/>
      <c r="B234" s="6"/>
      <c r="C234" s="2"/>
      <c r="D234" s="2"/>
      <c r="E234" s="2"/>
      <c r="F234" s="2"/>
      <c r="G234" s="2"/>
      <c r="H234" s="2" t="str">
        <f>REPT("★", F234) &amp; REPT("☆", 5 - F234)</f>
        <v>☆☆☆☆☆</v>
      </c>
      <c r="I234" s="7"/>
      <c r="J234" s="2"/>
    </row>
    <row r="235" spans="1:10">
      <c r="A235" s="6"/>
      <c r="B235" s="6"/>
      <c r="C235" s="2"/>
      <c r="D235" s="2"/>
      <c r="E235" s="2"/>
      <c r="F235" s="2"/>
      <c r="G235" s="2"/>
      <c r="H235" s="2" t="str">
        <f>REPT("★", F235) &amp; REPT("☆", 5 - F235)</f>
        <v>☆☆☆☆☆</v>
      </c>
      <c r="I235" s="7"/>
      <c r="J235" s="2"/>
    </row>
    <row r="236" spans="1:10">
      <c r="A236" s="6"/>
      <c r="B236" s="6"/>
      <c r="C236" s="2"/>
      <c r="D236" s="2"/>
      <c r="E236" s="2"/>
      <c r="F236" s="2"/>
      <c r="G236" s="2"/>
      <c r="H236" s="2" t="str">
        <f>REPT("★", F236) &amp; REPT("☆", 5 - F236)</f>
        <v>☆☆☆☆☆</v>
      </c>
      <c r="I236" s="7"/>
      <c r="J236" s="2"/>
    </row>
    <row r="237" spans="1:10">
      <c r="A237" s="6"/>
      <c r="B237" s="6"/>
      <c r="C237" s="2"/>
      <c r="D237" s="2"/>
      <c r="E237" s="2"/>
      <c r="F237" s="2"/>
      <c r="G237" s="2"/>
      <c r="H237" s="2" t="str">
        <f>REPT("★", F237) &amp; REPT("☆", 5 - F237)</f>
        <v>☆☆☆☆☆</v>
      </c>
      <c r="I237" s="7"/>
      <c r="J237" s="2"/>
    </row>
    <row r="238" spans="1:10">
      <c r="A238" s="6"/>
      <c r="B238" s="6"/>
      <c r="C238" s="2"/>
      <c r="D238" s="2"/>
      <c r="E238" s="2"/>
      <c r="F238" s="2"/>
      <c r="G238" s="2"/>
      <c r="H238" s="2" t="str">
        <f>REPT("★", F238) &amp; REPT("☆", 5 - F238)</f>
        <v>☆☆☆☆☆</v>
      </c>
      <c r="I238" s="7"/>
      <c r="J238" s="2"/>
    </row>
    <row r="239" spans="1:10">
      <c r="A239" s="6"/>
      <c r="B239" s="6"/>
      <c r="C239" s="2"/>
      <c r="D239" s="2"/>
      <c r="E239" s="2"/>
      <c r="F239" s="2"/>
      <c r="G239" s="2"/>
      <c r="H239" s="2" t="str">
        <f>REPT("★", F239) &amp; REPT("☆", 5 - F239)</f>
        <v>☆☆☆☆☆</v>
      </c>
      <c r="I239" s="7"/>
      <c r="J239" s="2"/>
    </row>
    <row r="240" spans="1:10">
      <c r="A240" s="6"/>
      <c r="B240" s="6"/>
      <c r="C240" s="2"/>
      <c r="D240" s="2"/>
      <c r="E240" s="2"/>
      <c r="F240" s="2"/>
      <c r="G240" s="2"/>
      <c r="H240" s="2" t="str">
        <f>REPT("★", F240) &amp; REPT("☆", 5 - F240)</f>
        <v>☆☆☆☆☆</v>
      </c>
      <c r="I240" s="7"/>
      <c r="J240" s="2"/>
    </row>
    <row r="241" spans="1:10">
      <c r="A241" s="6"/>
      <c r="B241" s="6"/>
      <c r="C241" s="2"/>
      <c r="D241" s="2"/>
      <c r="E241" s="2"/>
      <c r="F241" s="2"/>
      <c r="G241" s="2"/>
      <c r="H241" s="2" t="str">
        <f>REPT("★", F241) &amp; REPT("☆", 5 - F241)</f>
        <v>☆☆☆☆☆</v>
      </c>
      <c r="I241" s="7"/>
      <c r="J241" s="2"/>
    </row>
    <row r="242" spans="1:10">
      <c r="A242" s="6"/>
      <c r="B242" s="6"/>
      <c r="C242" s="2"/>
      <c r="D242" s="2"/>
      <c r="E242" s="2"/>
      <c r="F242" s="2"/>
      <c r="G242" s="2"/>
      <c r="H242" s="2" t="str">
        <f>REPT("★", F242) &amp; REPT("☆", 5 - F242)</f>
        <v>☆☆☆☆☆</v>
      </c>
      <c r="I242" s="7"/>
      <c r="J242" s="2"/>
    </row>
    <row r="243" spans="1:10">
      <c r="A243" s="6"/>
      <c r="B243" s="6"/>
      <c r="C243" s="2"/>
      <c r="D243" s="2"/>
      <c r="E243" s="2"/>
      <c r="F243" s="2"/>
      <c r="G243" s="2"/>
      <c r="H243" s="2" t="str">
        <f>REPT("★", F243) &amp; REPT("☆", 5 - F243)</f>
        <v>☆☆☆☆☆</v>
      </c>
      <c r="I243" s="7"/>
      <c r="J243" s="2"/>
    </row>
    <row r="244" spans="1:10">
      <c r="A244" s="6"/>
      <c r="B244" s="6"/>
      <c r="C244" s="2"/>
      <c r="D244" s="2"/>
      <c r="E244" s="2"/>
      <c r="F244" s="2"/>
      <c r="G244" s="2"/>
      <c r="H244" s="2" t="str">
        <f>REPT("★", F244) &amp; REPT("☆", 5 - F244)</f>
        <v>☆☆☆☆☆</v>
      </c>
      <c r="I244" s="7"/>
      <c r="J244" s="2"/>
    </row>
    <row r="245" spans="1:10">
      <c r="A245" s="6"/>
      <c r="B245" s="6"/>
      <c r="C245" s="2"/>
      <c r="D245" s="2"/>
      <c r="E245" s="2"/>
      <c r="F245" s="2"/>
      <c r="G245" s="2"/>
      <c r="H245" s="2" t="str">
        <f>REPT("★", F245) &amp; REPT("☆", 5 - F245)</f>
        <v>☆☆☆☆☆</v>
      </c>
      <c r="I245" s="7"/>
      <c r="J245" s="2"/>
    </row>
    <row r="246" spans="1:10">
      <c r="A246" s="6"/>
      <c r="B246" s="6"/>
      <c r="C246" s="2"/>
      <c r="D246" s="2"/>
      <c r="E246" s="2"/>
      <c r="F246" s="2"/>
      <c r="G246" s="2"/>
      <c r="H246" s="2" t="str">
        <f>REPT("★", F246) &amp; REPT("☆", 5 - F246)</f>
        <v>☆☆☆☆☆</v>
      </c>
      <c r="I246" s="7"/>
      <c r="J246" s="2"/>
    </row>
    <row r="247" spans="1:10">
      <c r="A247" s="6"/>
      <c r="B247" s="6"/>
      <c r="C247" s="2"/>
      <c r="D247" s="2"/>
      <c r="E247" s="2"/>
      <c r="F247" s="2"/>
      <c r="G247" s="2"/>
      <c r="H247" s="2" t="str">
        <f>REPT("★", F247) &amp; REPT("☆", 5 - F247)</f>
        <v>☆☆☆☆☆</v>
      </c>
      <c r="I247" s="7"/>
      <c r="J247" s="2"/>
    </row>
    <row r="248" spans="1:10">
      <c r="A248" s="6"/>
      <c r="B248" s="6"/>
      <c r="C248" s="2"/>
      <c r="D248" s="2"/>
      <c r="E248" s="2"/>
      <c r="F248" s="2"/>
      <c r="G248" s="2"/>
      <c r="H248" s="2" t="str">
        <f>REPT("★", F248) &amp; REPT("☆", 5 - F248)</f>
        <v>☆☆☆☆☆</v>
      </c>
      <c r="I248" s="7"/>
      <c r="J248" s="2"/>
    </row>
    <row r="249" spans="1:10">
      <c r="A249" s="6"/>
      <c r="B249" s="6"/>
      <c r="C249" s="2"/>
      <c r="D249" s="2"/>
      <c r="E249" s="2"/>
      <c r="F249" s="2"/>
      <c r="G249" s="2"/>
      <c r="H249" s="2" t="str">
        <f>REPT("★", F249) &amp; REPT("☆", 5 - F249)</f>
        <v>☆☆☆☆☆</v>
      </c>
      <c r="I249" s="7"/>
      <c r="J249" s="2"/>
    </row>
    <row r="250" spans="1:10">
      <c r="A250" s="6"/>
      <c r="B250" s="6"/>
      <c r="C250" s="2"/>
      <c r="D250" s="2"/>
      <c r="E250" s="2"/>
      <c r="F250" s="2"/>
      <c r="G250" s="2"/>
      <c r="H250" s="2" t="str">
        <f>REPT("★", F250) &amp; REPT("☆", 5 - F250)</f>
        <v>☆☆☆☆☆</v>
      </c>
      <c r="I250" s="7"/>
      <c r="J250" s="2"/>
    </row>
    <row r="251" spans="1:10">
      <c r="A251" s="6"/>
      <c r="B251" s="6"/>
      <c r="C251" s="2"/>
      <c r="D251" s="2"/>
      <c r="E251" s="2"/>
      <c r="F251" s="2"/>
      <c r="G251" s="2"/>
      <c r="H251" s="2" t="str">
        <f>REPT("★", F251) &amp; REPT("☆", 5 - F251)</f>
        <v>☆☆☆☆☆</v>
      </c>
      <c r="I251" s="7"/>
      <c r="J251" s="2"/>
    </row>
    <row r="252" spans="1:10">
      <c r="A252" s="6"/>
      <c r="B252" s="6"/>
      <c r="C252" s="2"/>
      <c r="D252" s="2"/>
      <c r="E252" s="2"/>
      <c r="F252" s="2"/>
      <c r="G252" s="2"/>
      <c r="H252" s="2" t="str">
        <f>REPT("★", F252) &amp; REPT("☆", 5 - F252)</f>
        <v>☆☆☆☆☆</v>
      </c>
      <c r="I252" s="7"/>
      <c r="J252" s="2"/>
    </row>
    <row r="253" spans="1:10">
      <c r="A253" s="6"/>
      <c r="B253" s="6"/>
      <c r="C253" s="2"/>
      <c r="D253" s="2"/>
      <c r="E253" s="2"/>
      <c r="F253" s="2"/>
      <c r="G253" s="2"/>
      <c r="H253" s="2" t="str">
        <f>REPT("★", F253) &amp; REPT("☆", 5 - F253)</f>
        <v>☆☆☆☆☆</v>
      </c>
      <c r="I253" s="7"/>
      <c r="J253" s="2"/>
    </row>
    <row r="254" spans="1:10">
      <c r="A254" s="6"/>
      <c r="B254" s="6"/>
      <c r="C254" s="2"/>
      <c r="D254" s="2"/>
      <c r="E254" s="2"/>
      <c r="F254" s="2"/>
      <c r="G254" s="2"/>
      <c r="H254" s="2" t="str">
        <f>REPT("★", F254) &amp; REPT("☆", 5 - F254)</f>
        <v>☆☆☆☆☆</v>
      </c>
      <c r="I254" s="7"/>
      <c r="J254" s="2"/>
    </row>
    <row r="255" spans="1:10">
      <c r="A255" s="6"/>
      <c r="B255" s="6"/>
      <c r="C255" s="2"/>
      <c r="D255" s="2"/>
      <c r="E255" s="2"/>
      <c r="F255" s="2"/>
      <c r="G255" s="2"/>
      <c r="H255" s="2" t="str">
        <f>REPT("★", F255) &amp; REPT("☆", 5 - F255)</f>
        <v>☆☆☆☆☆</v>
      </c>
      <c r="I255" s="7"/>
      <c r="J255" s="2"/>
    </row>
    <row r="256" spans="1:10">
      <c r="A256" s="6"/>
      <c r="B256" s="6"/>
      <c r="C256" s="2"/>
      <c r="D256" s="2"/>
      <c r="E256" s="2"/>
      <c r="F256" s="2"/>
      <c r="G256" s="2"/>
      <c r="H256" s="2" t="str">
        <f>REPT("★", F256) &amp; REPT("☆", 5 - F256)</f>
        <v>☆☆☆☆☆</v>
      </c>
      <c r="I256" s="7"/>
      <c r="J256" s="2"/>
    </row>
    <row r="257" spans="1:10">
      <c r="A257" s="6"/>
      <c r="B257" s="6"/>
      <c r="C257" s="2"/>
      <c r="D257" s="2"/>
      <c r="E257" s="2"/>
      <c r="F257" s="2"/>
      <c r="G257" s="2"/>
      <c r="H257" s="2" t="str">
        <f>REPT("★", F257) &amp; REPT("☆", 5 - F257)</f>
        <v>☆☆☆☆☆</v>
      </c>
      <c r="I257" s="7"/>
      <c r="J257" s="2"/>
    </row>
    <row r="258" spans="1:10">
      <c r="A258" s="6"/>
      <c r="B258" s="6"/>
      <c r="C258" s="2"/>
      <c r="D258" s="2"/>
      <c r="E258" s="2"/>
      <c r="F258" s="2"/>
      <c r="G258" s="2"/>
      <c r="H258" s="2" t="str">
        <f>REPT("★", F258) &amp; REPT("☆", 5 - F258)</f>
        <v>☆☆☆☆☆</v>
      </c>
      <c r="I258" s="7"/>
      <c r="J258" s="2"/>
    </row>
    <row r="259" spans="1:10">
      <c r="A259" s="6"/>
      <c r="B259" s="6"/>
      <c r="C259" s="2"/>
      <c r="D259" s="2"/>
      <c r="E259" s="2"/>
      <c r="F259" s="2"/>
      <c r="G259" s="2"/>
      <c r="H259" s="2" t="str">
        <f>REPT("★", F259) &amp; REPT("☆", 5 - F259)</f>
        <v>☆☆☆☆☆</v>
      </c>
      <c r="I259" s="7"/>
      <c r="J259" s="2"/>
    </row>
    <row r="260" spans="1:10">
      <c r="A260" s="6"/>
      <c r="B260" s="6"/>
      <c r="C260" s="2"/>
      <c r="D260" s="2"/>
      <c r="E260" s="2"/>
      <c r="F260" s="2"/>
      <c r="G260" s="2"/>
      <c r="H260" s="2" t="str">
        <f>REPT("★", F260) &amp; REPT("☆", 5 - F260)</f>
        <v>☆☆☆☆☆</v>
      </c>
      <c r="I260" s="7"/>
      <c r="J260" s="2"/>
    </row>
    <row r="261" spans="1:10">
      <c r="A261" s="6"/>
      <c r="B261" s="6"/>
      <c r="C261" s="2"/>
      <c r="D261" s="2"/>
      <c r="E261" s="2"/>
      <c r="F261" s="2"/>
      <c r="G261" s="2"/>
      <c r="H261" s="2" t="str">
        <f>REPT("★", F261) &amp; REPT("☆", 5 - F261)</f>
        <v>☆☆☆☆☆</v>
      </c>
      <c r="I261" s="7"/>
      <c r="J261" s="2"/>
    </row>
    <row r="262" spans="1:10">
      <c r="A262" s="6"/>
      <c r="B262" s="6"/>
      <c r="C262" s="2"/>
      <c r="D262" s="2"/>
      <c r="E262" s="2"/>
      <c r="F262" s="2"/>
      <c r="G262" s="2"/>
      <c r="H262" s="2" t="str">
        <f>REPT("★", F262) &amp; REPT("☆", 5 - F262)</f>
        <v>☆☆☆☆☆</v>
      </c>
      <c r="I262" s="7"/>
      <c r="J262" s="2"/>
    </row>
    <row r="263" spans="1:10">
      <c r="A263" s="6"/>
      <c r="B263" s="6"/>
      <c r="C263" s="2"/>
      <c r="D263" s="2"/>
      <c r="E263" s="2"/>
      <c r="F263" s="2"/>
      <c r="G263" s="2"/>
      <c r="H263" s="2" t="str">
        <f>REPT("★", F263) &amp; REPT("☆", 5 - F263)</f>
        <v>☆☆☆☆☆</v>
      </c>
      <c r="I263" s="7"/>
      <c r="J263" s="2"/>
    </row>
    <row r="264" spans="1:10">
      <c r="A264" s="6"/>
      <c r="B264" s="6"/>
      <c r="C264" s="2"/>
      <c r="D264" s="2"/>
      <c r="E264" s="2"/>
      <c r="F264" s="2"/>
      <c r="G264" s="2"/>
      <c r="H264" s="2" t="str">
        <f>REPT("★", F264) &amp; REPT("☆", 5 - F264)</f>
        <v>☆☆☆☆☆</v>
      </c>
      <c r="I264" s="7"/>
      <c r="J264" s="2"/>
    </row>
    <row r="265" spans="1:10">
      <c r="A265" s="6"/>
      <c r="B265" s="6"/>
      <c r="C265" s="2"/>
      <c r="D265" s="2"/>
      <c r="E265" s="2"/>
      <c r="F265" s="2"/>
      <c r="G265" s="2"/>
      <c r="H265" s="2" t="str">
        <f>REPT("★", F265) &amp; REPT("☆", 5 - F265)</f>
        <v>☆☆☆☆☆</v>
      </c>
      <c r="I265" s="7"/>
      <c r="J265" s="2"/>
    </row>
    <row r="266" spans="1:10">
      <c r="A266" s="6"/>
      <c r="B266" s="6"/>
      <c r="C266" s="2"/>
      <c r="D266" s="2"/>
      <c r="E266" s="2"/>
      <c r="F266" s="2"/>
      <c r="G266" s="2"/>
      <c r="H266" s="2" t="str">
        <f>REPT("★", F266) &amp; REPT("☆", 5 - F266)</f>
        <v>☆☆☆☆☆</v>
      </c>
      <c r="I266" s="7"/>
      <c r="J266" s="2"/>
    </row>
    <row r="267" spans="1:10">
      <c r="A267" s="6"/>
      <c r="B267" s="6"/>
      <c r="C267" s="2"/>
      <c r="D267" s="2"/>
      <c r="E267" s="2"/>
      <c r="F267" s="2"/>
      <c r="G267" s="2"/>
      <c r="H267" s="2" t="str">
        <f>REPT("★", F267) &amp; REPT("☆", 5 - F267)</f>
        <v>☆☆☆☆☆</v>
      </c>
      <c r="I267" s="7"/>
      <c r="J267" s="2"/>
    </row>
    <row r="268" spans="1:10">
      <c r="A268" s="6"/>
      <c r="B268" s="6"/>
      <c r="C268" s="2"/>
      <c r="D268" s="2"/>
      <c r="E268" s="2"/>
      <c r="F268" s="2"/>
      <c r="G268" s="2"/>
      <c r="H268" s="2" t="str">
        <f>REPT("★", F268) &amp; REPT("☆", 5 - F268)</f>
        <v>☆☆☆☆☆</v>
      </c>
      <c r="I268" s="7"/>
      <c r="J268" s="2"/>
    </row>
    <row r="269" spans="1:10">
      <c r="A269" s="6"/>
      <c r="B269" s="6"/>
      <c r="C269" s="2"/>
      <c r="D269" s="2"/>
      <c r="E269" s="2"/>
      <c r="F269" s="2"/>
      <c r="G269" s="2"/>
      <c r="H269" s="2" t="str">
        <f>REPT("★", F269) &amp; REPT("☆", 5 - F269)</f>
        <v>☆☆☆☆☆</v>
      </c>
      <c r="I269" s="7"/>
      <c r="J269" s="2"/>
    </row>
    <row r="270" spans="1:10">
      <c r="A270" s="6"/>
      <c r="B270" s="6"/>
      <c r="C270" s="2"/>
      <c r="D270" s="2"/>
      <c r="E270" s="2"/>
      <c r="F270" s="2"/>
      <c r="G270" s="2"/>
      <c r="H270" s="2" t="str">
        <f>REPT("★", F270) &amp; REPT("☆", 5 - F270)</f>
        <v>☆☆☆☆☆</v>
      </c>
      <c r="I270" s="7"/>
      <c r="J270" s="2"/>
    </row>
    <row r="271" spans="1:10">
      <c r="A271" s="6"/>
      <c r="B271" s="6"/>
      <c r="C271" s="2"/>
      <c r="D271" s="2"/>
      <c r="E271" s="2"/>
      <c r="F271" s="2"/>
      <c r="G271" s="2"/>
      <c r="H271" s="2" t="str">
        <f>REPT("★", F271) &amp; REPT("☆", 5 - F271)</f>
        <v>☆☆☆☆☆</v>
      </c>
      <c r="I271" s="7"/>
      <c r="J271" s="2"/>
    </row>
    <row r="272" spans="1:10">
      <c r="A272" s="6"/>
      <c r="B272" s="6"/>
      <c r="C272" s="2"/>
      <c r="D272" s="2"/>
      <c r="E272" s="2"/>
      <c r="F272" s="2"/>
      <c r="G272" s="2"/>
      <c r="H272" s="2" t="str">
        <f>REPT("★", F272) &amp; REPT("☆", 5 - F272)</f>
        <v>☆☆☆☆☆</v>
      </c>
      <c r="I272" s="7"/>
      <c r="J272" s="2"/>
    </row>
    <row r="273" spans="1:10">
      <c r="A273" s="6"/>
      <c r="B273" s="6"/>
      <c r="C273" s="2"/>
      <c r="D273" s="2"/>
      <c r="E273" s="2"/>
      <c r="F273" s="2"/>
      <c r="G273" s="2"/>
      <c r="H273" s="2" t="str">
        <f>REPT("★", F273) &amp; REPT("☆", 5 - F273)</f>
        <v>☆☆☆☆☆</v>
      </c>
      <c r="I273" s="7"/>
      <c r="J273" s="2"/>
    </row>
    <row r="274" spans="1:10">
      <c r="A274" s="6"/>
      <c r="B274" s="6"/>
      <c r="C274" s="2"/>
      <c r="D274" s="2"/>
      <c r="E274" s="2"/>
      <c r="F274" s="2"/>
      <c r="G274" s="2"/>
      <c r="H274" s="2" t="str">
        <f>REPT("★", F274) &amp; REPT("☆", 5 - F274)</f>
        <v>☆☆☆☆☆</v>
      </c>
      <c r="I274" s="7"/>
      <c r="J274" s="2"/>
    </row>
    <row r="275" spans="1:10">
      <c r="A275" s="6"/>
      <c r="B275" s="6"/>
      <c r="C275" s="2"/>
      <c r="D275" s="2"/>
      <c r="E275" s="2"/>
      <c r="F275" s="2"/>
      <c r="G275" s="2"/>
      <c r="H275" s="2" t="str">
        <f>REPT("★", F275) &amp; REPT("☆", 5 - F275)</f>
        <v>☆☆☆☆☆</v>
      </c>
      <c r="I275" s="7"/>
      <c r="J275" s="2"/>
    </row>
    <row r="276" spans="1:10">
      <c r="A276" s="6"/>
      <c r="B276" s="6"/>
      <c r="C276" s="2"/>
      <c r="D276" s="2"/>
      <c r="E276" s="2"/>
      <c r="F276" s="2"/>
      <c r="G276" s="2"/>
      <c r="H276" s="2" t="str">
        <f>REPT("★", F276) &amp; REPT("☆", 5 - F276)</f>
        <v>☆☆☆☆☆</v>
      </c>
      <c r="I276" s="7"/>
      <c r="J276" s="2"/>
    </row>
    <row r="277" spans="1:10">
      <c r="A277" s="6"/>
      <c r="B277" s="6"/>
      <c r="C277" s="2"/>
      <c r="D277" s="2"/>
      <c r="E277" s="2"/>
      <c r="F277" s="2"/>
      <c r="G277" s="2"/>
      <c r="H277" s="2" t="str">
        <f>REPT("★", F277) &amp; REPT("☆", 5 - F277)</f>
        <v>☆☆☆☆☆</v>
      </c>
      <c r="I277" s="7"/>
      <c r="J277" s="2"/>
    </row>
    <row r="278" spans="1:10">
      <c r="A278" s="6"/>
      <c r="B278" s="6"/>
      <c r="C278" s="2"/>
      <c r="D278" s="2"/>
      <c r="E278" s="2"/>
      <c r="F278" s="2"/>
      <c r="G278" s="2"/>
      <c r="H278" s="2" t="str">
        <f>REPT("★", F278) &amp; REPT("☆", 5 - F278)</f>
        <v>☆☆☆☆☆</v>
      </c>
      <c r="I278" s="7"/>
      <c r="J278" s="2"/>
    </row>
    <row r="279" spans="1:10">
      <c r="A279" s="6"/>
      <c r="B279" s="6"/>
      <c r="C279" s="2"/>
      <c r="D279" s="2"/>
      <c r="E279" s="2"/>
      <c r="F279" s="2"/>
      <c r="G279" s="2"/>
      <c r="H279" s="2" t="str">
        <f>REPT("★", F279) &amp; REPT("☆", 5 - F279)</f>
        <v>☆☆☆☆☆</v>
      </c>
      <c r="I279" s="7"/>
      <c r="J279" s="2"/>
    </row>
    <row r="280" spans="1:10">
      <c r="A280" s="6"/>
      <c r="B280" s="6"/>
      <c r="C280" s="2"/>
      <c r="D280" s="2"/>
      <c r="E280" s="2"/>
      <c r="F280" s="2"/>
      <c r="G280" s="2"/>
      <c r="H280" s="2" t="str">
        <f>REPT("★", F280) &amp; REPT("☆", 5 - F280)</f>
        <v>☆☆☆☆☆</v>
      </c>
      <c r="I280" s="7"/>
      <c r="J280" s="2"/>
    </row>
    <row r="281" spans="1:10">
      <c r="A281" s="6"/>
      <c r="B281" s="6"/>
      <c r="C281" s="2"/>
      <c r="D281" s="2"/>
      <c r="E281" s="2"/>
      <c r="F281" s="2"/>
      <c r="G281" s="2"/>
      <c r="H281" s="2" t="str">
        <f>REPT("★", F281) &amp; REPT("☆", 5 - F281)</f>
        <v>☆☆☆☆☆</v>
      </c>
      <c r="I281" s="7"/>
      <c r="J281" s="2"/>
    </row>
    <row r="282" spans="1:10">
      <c r="A282" s="6"/>
      <c r="B282" s="6"/>
      <c r="C282" s="2"/>
      <c r="D282" s="2"/>
      <c r="E282" s="2"/>
      <c r="F282" s="2"/>
      <c r="G282" s="2"/>
      <c r="H282" s="2" t="str">
        <f>REPT("★", F282) &amp; REPT("☆", 5 - F282)</f>
        <v>☆☆☆☆☆</v>
      </c>
      <c r="I282" s="7"/>
      <c r="J282" s="2"/>
    </row>
    <row r="283" spans="1:10">
      <c r="A283" s="6"/>
      <c r="B283" s="6"/>
      <c r="C283" s="2"/>
      <c r="D283" s="2"/>
      <c r="E283" s="2"/>
      <c r="F283" s="2"/>
      <c r="G283" s="2"/>
      <c r="H283" s="2" t="str">
        <f>REPT("★", F283) &amp; REPT("☆", 5 - F283)</f>
        <v>☆☆☆☆☆</v>
      </c>
      <c r="I283" s="7"/>
      <c r="J283" s="2"/>
    </row>
    <row r="284" spans="1:10">
      <c r="A284" s="6"/>
      <c r="B284" s="6"/>
      <c r="C284" s="2"/>
      <c r="D284" s="2"/>
      <c r="E284" s="2"/>
      <c r="F284" s="2"/>
      <c r="G284" s="2"/>
      <c r="H284" s="2" t="str">
        <f>REPT("★", F284) &amp; REPT("☆", 5 - F284)</f>
        <v>☆☆☆☆☆</v>
      </c>
      <c r="I284" s="7"/>
      <c r="J284" s="2"/>
    </row>
    <row r="285" spans="1:10">
      <c r="A285" s="6"/>
      <c r="B285" s="6"/>
      <c r="C285" s="2"/>
      <c r="D285" s="2"/>
      <c r="E285" s="2"/>
      <c r="F285" s="2"/>
      <c r="G285" s="2"/>
      <c r="H285" s="2" t="str">
        <f>REPT("★", F285) &amp; REPT("☆", 5 - F285)</f>
        <v>☆☆☆☆☆</v>
      </c>
      <c r="I285" s="7"/>
      <c r="J285" s="2"/>
    </row>
    <row r="286" spans="1:10">
      <c r="A286" s="6"/>
      <c r="B286" s="6"/>
      <c r="C286" s="2"/>
      <c r="D286" s="2"/>
      <c r="E286" s="2"/>
      <c r="F286" s="2"/>
      <c r="G286" s="2"/>
      <c r="H286" s="2" t="str">
        <f>REPT("★", F286) &amp; REPT("☆", 5 - F286)</f>
        <v>☆☆☆☆☆</v>
      </c>
      <c r="I286" s="7"/>
      <c r="J286" s="2"/>
    </row>
    <row r="287" spans="1:10">
      <c r="A287" s="6"/>
      <c r="B287" s="6"/>
      <c r="C287" s="2"/>
      <c r="D287" s="2"/>
      <c r="E287" s="2"/>
      <c r="F287" s="2"/>
      <c r="G287" s="2"/>
      <c r="H287" s="2" t="str">
        <f>REPT("★", F287) &amp; REPT("☆", 5 - F287)</f>
        <v>☆☆☆☆☆</v>
      </c>
      <c r="I287" s="7"/>
      <c r="J287" s="2"/>
    </row>
    <row r="288" spans="1:10">
      <c r="A288" s="6"/>
      <c r="B288" s="6"/>
      <c r="C288" s="2"/>
      <c r="D288" s="2"/>
      <c r="E288" s="2"/>
      <c r="F288" s="2"/>
      <c r="G288" s="2"/>
      <c r="H288" s="2" t="str">
        <f>REPT("★", F288) &amp; REPT("☆", 5 - F288)</f>
        <v>☆☆☆☆☆</v>
      </c>
      <c r="I288" s="7"/>
      <c r="J288" s="2"/>
    </row>
    <row r="289" spans="1:10">
      <c r="A289" s="6"/>
      <c r="B289" s="6"/>
      <c r="C289" s="2"/>
      <c r="D289" s="2"/>
      <c r="E289" s="2"/>
      <c r="F289" s="2"/>
      <c r="G289" s="2"/>
      <c r="H289" s="2" t="str">
        <f>REPT("★", F289) &amp; REPT("☆", 5 - F289)</f>
        <v>☆☆☆☆☆</v>
      </c>
      <c r="I289" s="7"/>
      <c r="J289" s="2"/>
    </row>
    <row r="290" spans="1:10">
      <c r="A290" s="6"/>
      <c r="B290" s="6"/>
      <c r="C290" s="2"/>
      <c r="D290" s="2"/>
      <c r="E290" s="2"/>
      <c r="F290" s="2"/>
      <c r="G290" s="2"/>
      <c r="H290" s="2" t="str">
        <f>REPT("★", F290) &amp; REPT("☆", 5 - F290)</f>
        <v>☆☆☆☆☆</v>
      </c>
      <c r="I290" s="7"/>
      <c r="J290" s="2"/>
    </row>
    <row r="291" spans="1:10">
      <c r="A291" s="6"/>
      <c r="B291" s="6"/>
      <c r="C291" s="2"/>
      <c r="D291" s="2"/>
      <c r="E291" s="2"/>
      <c r="F291" s="2"/>
      <c r="G291" s="2"/>
      <c r="H291" s="2" t="str">
        <f>REPT("★", F291) &amp; REPT("☆", 5 - F291)</f>
        <v>☆☆☆☆☆</v>
      </c>
      <c r="I291" s="7"/>
      <c r="J291" s="2"/>
    </row>
    <row r="292" spans="1:10">
      <c r="A292" s="6"/>
      <c r="B292" s="6"/>
      <c r="C292" s="2"/>
      <c r="D292" s="2"/>
      <c r="E292" s="2"/>
      <c r="F292" s="2"/>
      <c r="G292" s="2"/>
      <c r="H292" s="2" t="str">
        <f>REPT("★", F292) &amp; REPT("☆", 5 - F292)</f>
        <v>☆☆☆☆☆</v>
      </c>
      <c r="I292" s="7"/>
      <c r="J292" s="2"/>
    </row>
    <row r="293" spans="1:10">
      <c r="A293" s="6"/>
      <c r="B293" s="6"/>
      <c r="C293" s="2"/>
      <c r="D293" s="2"/>
      <c r="E293" s="2"/>
      <c r="F293" s="2"/>
      <c r="G293" s="2"/>
      <c r="H293" s="2" t="str">
        <f>REPT("★", F293) &amp; REPT("☆", 5 - F293)</f>
        <v>☆☆☆☆☆</v>
      </c>
      <c r="I293" s="7"/>
      <c r="J293" s="2"/>
    </row>
    <row r="294" spans="1:10">
      <c r="A294" s="6"/>
      <c r="B294" s="6"/>
      <c r="C294" s="2"/>
      <c r="D294" s="2"/>
      <c r="E294" s="2"/>
      <c r="F294" s="2"/>
      <c r="G294" s="2"/>
      <c r="H294" s="2" t="str">
        <f>REPT("★", F294) &amp; REPT("☆", 5 - F294)</f>
        <v>☆☆☆☆☆</v>
      </c>
      <c r="I294" s="7"/>
      <c r="J294" s="2"/>
    </row>
    <row r="295" spans="1:10">
      <c r="A295" s="6"/>
      <c r="B295" s="6"/>
      <c r="C295" s="2"/>
      <c r="D295" s="2"/>
      <c r="E295" s="2"/>
      <c r="F295" s="2"/>
      <c r="G295" s="2"/>
      <c r="H295" s="2" t="str">
        <f>REPT("★", F295) &amp; REPT("☆", 5 - F295)</f>
        <v>☆☆☆☆☆</v>
      </c>
      <c r="I295" s="7"/>
      <c r="J295" s="2"/>
    </row>
    <row r="296" spans="1:10">
      <c r="A296" s="6"/>
      <c r="B296" s="6"/>
      <c r="C296" s="2"/>
      <c r="D296" s="2"/>
      <c r="E296" s="2"/>
      <c r="F296" s="2"/>
      <c r="G296" s="2"/>
      <c r="H296" s="2" t="str">
        <f>REPT("★", F296) &amp; REPT("☆", 5 - F296)</f>
        <v>☆☆☆☆☆</v>
      </c>
      <c r="I296" s="7"/>
      <c r="J296" s="2"/>
    </row>
    <row r="297" spans="1:10">
      <c r="A297" s="6"/>
      <c r="B297" s="6"/>
      <c r="C297" s="2"/>
      <c r="D297" s="2"/>
      <c r="E297" s="2"/>
      <c r="F297" s="2"/>
      <c r="G297" s="2"/>
      <c r="H297" s="2" t="str">
        <f>REPT("★", F297) &amp; REPT("☆", 5 - F297)</f>
        <v>☆☆☆☆☆</v>
      </c>
      <c r="I297" s="7"/>
      <c r="J297" s="2"/>
    </row>
    <row r="298" spans="1:10">
      <c r="A298" s="6"/>
      <c r="B298" s="6"/>
      <c r="C298" s="2"/>
      <c r="D298" s="2"/>
      <c r="E298" s="2"/>
      <c r="F298" s="2"/>
      <c r="G298" s="2"/>
      <c r="H298" s="2" t="str">
        <f>REPT("★", F298) &amp; REPT("☆", 5 - F298)</f>
        <v>☆☆☆☆☆</v>
      </c>
      <c r="I298" s="7"/>
      <c r="J298" s="2"/>
    </row>
    <row r="299" spans="1:10">
      <c r="A299" s="6"/>
      <c r="B299" s="6"/>
      <c r="C299" s="2"/>
      <c r="D299" s="2"/>
      <c r="E299" s="2"/>
      <c r="F299" s="2"/>
      <c r="G299" s="2"/>
      <c r="H299" s="2" t="str">
        <f>REPT("★", F299) &amp; REPT("☆", 5 - F299)</f>
        <v>☆☆☆☆☆</v>
      </c>
      <c r="I299" s="7"/>
      <c r="J299" s="2"/>
    </row>
    <row r="300" spans="1:10">
      <c r="A300" s="6"/>
      <c r="B300" s="6"/>
      <c r="C300" s="2"/>
      <c r="D300" s="2"/>
      <c r="E300" s="2"/>
      <c r="F300" s="2"/>
      <c r="G300" s="2"/>
      <c r="H300" s="2" t="str">
        <f>REPT("★", F300) &amp; REPT("☆", 5 - F300)</f>
        <v>☆☆☆☆☆</v>
      </c>
      <c r="I300" s="7"/>
      <c r="J300" s="2"/>
    </row>
  </sheetData>
  <sortState xmlns:xlrd2="http://schemas.microsoft.com/office/spreadsheetml/2017/richdata2" ref="A5:J300">
    <sortCondition ref="D5:D300"/>
  </sortState>
  <mergeCells count="1">
    <mergeCell ref="A1:J1"/>
  </mergeCells>
  <conditionalFormatting sqref="D1:D1048576">
    <cfRule type="containsText" dxfId="91" priority="4" operator="containsText" text="FINISHED">
      <formula>NOT(ISERROR(SEARCH("FINISHED",D1)))</formula>
    </cfRule>
    <cfRule type="containsText" dxfId="90" priority="3" operator="containsText" text="READING">
      <formula>NOT(ISERROR(SEARCH("READING",D1)))</formula>
    </cfRule>
    <cfRule type="containsText" dxfId="89" priority="2" operator="containsText" text="ABANDONED">
      <formula>NOT(ISERROR(SEARCH("ABANDONED",D1)))</formula>
    </cfRule>
    <cfRule type="containsText" dxfId="88" priority="1" operator="containsText" text="WANT TO READ">
      <formula>NOT(ISERROR(SEARCH("WANT TO READ",D1)))</formula>
    </cfRule>
  </conditionalFormatting>
  <dataValidations count="2">
    <dataValidation type="list" allowBlank="1" showInputMessage="1" showErrorMessage="1" sqref="E5:E300" xr:uid="{8073C4CB-1EB7-4C5D-A067-245711B0BD44}">
      <formula1>"Physical, Ebook, Audiobook"</formula1>
    </dataValidation>
    <dataValidation type="list" allowBlank="1" showInputMessage="1" showErrorMessage="1" sqref="D5:D300" xr:uid="{818CDDBB-A943-4A79-972E-0FBC071FF322}">
      <formula1>"Reading, Finished, Want to Read, Abandoned"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AA38-8B52-4FA4-BDEF-6BC9FB665201}">
  <dimension ref="A1:J30"/>
  <sheetViews>
    <sheetView workbookViewId="0">
      <selection activeCell="G7" sqref="G7"/>
    </sheetView>
  </sheetViews>
  <sheetFormatPr defaultRowHeight="15"/>
  <cols>
    <col min="1" max="1" width="24.7109375" customWidth="1"/>
    <col min="2" max="2" width="20.42578125" customWidth="1"/>
    <col min="3" max="3" width="16.85546875" customWidth="1"/>
    <col min="4" max="4" width="16.140625" customWidth="1"/>
    <col min="5" max="5" width="15" customWidth="1"/>
    <col min="6" max="6" width="18.42578125" customWidth="1"/>
    <col min="7" max="7" width="13.28515625" customWidth="1"/>
    <col min="8" max="8" width="19.5703125" customWidth="1"/>
    <col min="9" max="9" width="20.85546875" customWidth="1"/>
    <col min="10" max="10" width="29.28515625" customWidth="1"/>
  </cols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26</v>
      </c>
      <c r="B3" s="2"/>
      <c r="C3" s="2"/>
      <c r="D3" s="2">
        <f>COUNTIF(D5:D200, "Finished")</f>
        <v>26</v>
      </c>
      <c r="E3" s="2"/>
      <c r="F3" s="2">
        <f>AVERAGE(F5:F200)</f>
        <v>4.0120000000000005</v>
      </c>
      <c r="G3" s="2">
        <f>SUM(G5:G100)</f>
        <v>3962</v>
      </c>
      <c r="H3" s="2">
        <f>COUNTIF(F5:H200, 5)</f>
        <v>9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 ht="45.75">
      <c r="A5" s="6" t="s">
        <v>230</v>
      </c>
      <c r="B5" s="6"/>
      <c r="C5" s="2"/>
      <c r="D5" s="2" t="s">
        <v>14</v>
      </c>
      <c r="E5" s="2" t="s">
        <v>15</v>
      </c>
      <c r="F5" s="2">
        <v>5</v>
      </c>
      <c r="G5" s="2"/>
      <c r="H5" s="2" t="str">
        <f>REPT("★", F5) &amp; REPT("☆", 5 - F5)</f>
        <v>★★★★★</v>
      </c>
      <c r="I5" s="3"/>
      <c r="J5" s="2"/>
    </row>
    <row r="6" spans="1:10" ht="45.75">
      <c r="A6" s="6" t="s">
        <v>231</v>
      </c>
      <c r="B6" s="6"/>
      <c r="C6" s="2"/>
      <c r="D6" s="2" t="s">
        <v>14</v>
      </c>
      <c r="E6" s="2" t="s">
        <v>15</v>
      </c>
      <c r="F6" s="2">
        <v>2</v>
      </c>
      <c r="G6" s="2"/>
      <c r="H6" s="2" t="str">
        <f>REPT("★", F6) &amp; REPT("☆", 5 - F6)</f>
        <v>★★☆☆☆</v>
      </c>
      <c r="I6" s="3"/>
      <c r="J6" s="2"/>
    </row>
    <row r="7" spans="1:10" ht="91.5">
      <c r="A7" s="6" t="s">
        <v>232</v>
      </c>
      <c r="B7" s="6" t="s">
        <v>233</v>
      </c>
      <c r="C7" s="2" t="s">
        <v>83</v>
      </c>
      <c r="D7" s="2" t="s">
        <v>14</v>
      </c>
      <c r="E7" s="2" t="s">
        <v>15</v>
      </c>
      <c r="F7" s="2">
        <v>5</v>
      </c>
      <c r="G7" s="2"/>
      <c r="H7" s="2" t="str">
        <f>REPT("★", F7) &amp; REPT("☆", 5 - F7)</f>
        <v>★★★★★</v>
      </c>
      <c r="I7" s="3"/>
      <c r="J7" s="2"/>
    </row>
    <row r="8" spans="1:10" ht="30.75">
      <c r="A8" s="6" t="s">
        <v>234</v>
      </c>
      <c r="B8" s="6"/>
      <c r="C8" s="2" t="s">
        <v>83</v>
      </c>
      <c r="D8" s="2" t="s">
        <v>14</v>
      </c>
      <c r="E8" s="2" t="s">
        <v>15</v>
      </c>
      <c r="F8" s="2">
        <v>0</v>
      </c>
      <c r="G8" s="2"/>
      <c r="H8" s="2" t="str">
        <f>REPT("★", F8) &amp; REPT("☆", 5 - F8)</f>
        <v>☆☆☆☆☆</v>
      </c>
      <c r="I8" s="3"/>
      <c r="J8" s="2"/>
    </row>
    <row r="9" spans="1:10" ht="30.75">
      <c r="A9" s="6" t="s">
        <v>235</v>
      </c>
      <c r="B9" s="6"/>
      <c r="C9" s="2"/>
      <c r="D9" s="2" t="s">
        <v>14</v>
      </c>
      <c r="E9" s="2" t="s">
        <v>15</v>
      </c>
      <c r="F9" s="2">
        <v>5</v>
      </c>
      <c r="G9" s="2"/>
      <c r="H9" s="2" t="str">
        <f>REPT("★", F9) &amp; REPT("☆", 5 - F9)</f>
        <v>★★★★★</v>
      </c>
      <c r="I9" s="3"/>
      <c r="J9" s="2"/>
    </row>
    <row r="10" spans="1:10" ht="30.75">
      <c r="A10" s="6" t="s">
        <v>236</v>
      </c>
      <c r="B10" s="6"/>
      <c r="C10" s="2"/>
      <c r="D10" s="2" t="s">
        <v>14</v>
      </c>
      <c r="E10" s="2" t="s">
        <v>15</v>
      </c>
      <c r="F10" s="2">
        <v>4.9000000000000004</v>
      </c>
      <c r="G10" s="2"/>
      <c r="H10" s="2" t="str">
        <f>REPT("★", F10) &amp; REPT("☆", 5 - F10)</f>
        <v>★★★★</v>
      </c>
      <c r="I10" s="3"/>
      <c r="J10" s="2"/>
    </row>
    <row r="11" spans="1:10" ht="45.75">
      <c r="A11" s="6" t="s">
        <v>237</v>
      </c>
      <c r="B11" s="6"/>
      <c r="C11" s="2"/>
      <c r="D11" s="2" t="s">
        <v>14</v>
      </c>
      <c r="E11" s="2" t="s">
        <v>15</v>
      </c>
      <c r="F11" s="2">
        <v>4</v>
      </c>
      <c r="G11" s="2"/>
      <c r="H11" s="2" t="str">
        <f>REPT("★", F11) &amp; REPT("☆", 5 - F11)</f>
        <v>★★★★☆</v>
      </c>
      <c r="I11" s="3"/>
      <c r="J11" s="2"/>
    </row>
    <row r="12" spans="1:10" ht="45.75">
      <c r="A12" s="6" t="s">
        <v>238</v>
      </c>
      <c r="B12" s="6"/>
      <c r="C12" s="2"/>
      <c r="D12" s="2" t="s">
        <v>14</v>
      </c>
      <c r="E12" s="2" t="s">
        <v>15</v>
      </c>
      <c r="F12" s="2">
        <v>3.5</v>
      </c>
      <c r="G12" s="2"/>
      <c r="H12" s="2" t="str">
        <f>REPT("★", F12) &amp; REPT("☆", 5 - F12)</f>
        <v>★★★☆</v>
      </c>
      <c r="I12" s="3"/>
      <c r="J12" s="2"/>
    </row>
    <row r="13" spans="1:10" ht="76.5">
      <c r="A13" s="6" t="s">
        <v>239</v>
      </c>
      <c r="B13" s="6"/>
      <c r="C13" s="2"/>
      <c r="D13" s="2" t="s">
        <v>14</v>
      </c>
      <c r="E13" s="2" t="s">
        <v>15</v>
      </c>
      <c r="F13" s="2">
        <v>2.5</v>
      </c>
      <c r="G13" s="2"/>
      <c r="H13" s="2" t="str">
        <f>REPT("★", F13) &amp; REPT("☆", 5 - F13)</f>
        <v>★★☆☆</v>
      </c>
      <c r="I13" s="3"/>
      <c r="J13" s="2"/>
    </row>
    <row r="14" spans="1:10" ht="30.75">
      <c r="A14" s="6" t="s">
        <v>240</v>
      </c>
      <c r="B14" s="6" t="s">
        <v>67</v>
      </c>
      <c r="C14" s="2"/>
      <c r="D14" s="2" t="s">
        <v>14</v>
      </c>
      <c r="E14" s="2" t="s">
        <v>19</v>
      </c>
      <c r="F14" s="2">
        <v>4</v>
      </c>
      <c r="G14" s="2">
        <v>368</v>
      </c>
      <c r="H14" s="2" t="str">
        <f>REPT("★", F14) &amp; REPT("☆", 5 - F14)</f>
        <v>★★★★☆</v>
      </c>
      <c r="I14" s="7"/>
      <c r="J14" s="2"/>
    </row>
    <row r="15" spans="1:10" ht="30.75">
      <c r="A15" s="6" t="s">
        <v>241</v>
      </c>
      <c r="B15" s="6" t="s">
        <v>242</v>
      </c>
      <c r="C15" s="2" t="s">
        <v>63</v>
      </c>
      <c r="D15" s="2" t="s">
        <v>14</v>
      </c>
      <c r="E15" s="2" t="s">
        <v>19</v>
      </c>
      <c r="F15" s="2">
        <v>4</v>
      </c>
      <c r="G15" s="2">
        <v>255</v>
      </c>
      <c r="H15" s="2" t="str">
        <f>REPT("★", F15) &amp; REPT("☆", 5 - F15)</f>
        <v>★★★★☆</v>
      </c>
      <c r="I15" s="7"/>
      <c r="J15" s="2"/>
    </row>
    <row r="16" spans="1:10" ht="30.75">
      <c r="A16" s="6" t="s">
        <v>243</v>
      </c>
      <c r="B16" s="6" t="s">
        <v>242</v>
      </c>
      <c r="C16" s="2" t="s">
        <v>63</v>
      </c>
      <c r="D16" s="2" t="s">
        <v>14</v>
      </c>
      <c r="E16" s="2" t="s">
        <v>19</v>
      </c>
      <c r="F16" s="2">
        <v>4</v>
      </c>
      <c r="G16" s="2">
        <v>256</v>
      </c>
      <c r="H16" s="2" t="str">
        <f>REPT("★", F16) &amp; REPT("☆", 5 - F16)</f>
        <v>★★★★☆</v>
      </c>
      <c r="I16" s="7"/>
      <c r="J16" s="2"/>
    </row>
    <row r="17" spans="1:10" ht="76.5">
      <c r="A17" s="6" t="s">
        <v>244</v>
      </c>
      <c r="B17" s="6" t="s">
        <v>245</v>
      </c>
      <c r="C17" s="2"/>
      <c r="D17" s="2" t="s">
        <v>14</v>
      </c>
      <c r="E17" s="2" t="s">
        <v>19</v>
      </c>
      <c r="F17" s="2">
        <v>5</v>
      </c>
      <c r="G17" s="2">
        <v>181</v>
      </c>
      <c r="H17" s="2" t="str">
        <f>REPT("★", F17) &amp; REPT("☆", 5 - F17)</f>
        <v>★★★★★</v>
      </c>
      <c r="I17" s="7"/>
      <c r="J17" s="2" t="s">
        <v>246</v>
      </c>
    </row>
    <row r="18" spans="1:10" ht="60.75">
      <c r="A18" s="6" t="s">
        <v>247</v>
      </c>
      <c r="B18" s="6" t="s">
        <v>242</v>
      </c>
      <c r="C18" s="2" t="s">
        <v>63</v>
      </c>
      <c r="D18" s="2" t="s">
        <v>14</v>
      </c>
      <c r="E18" s="2" t="s">
        <v>19</v>
      </c>
      <c r="F18" s="2">
        <v>3</v>
      </c>
      <c r="G18" s="2">
        <v>280</v>
      </c>
      <c r="H18" s="2" t="str">
        <f>REPT("★", F18) &amp; REPT("☆", 5 - F18)</f>
        <v>★★★☆☆</v>
      </c>
      <c r="I18" s="7"/>
      <c r="J18" s="2"/>
    </row>
    <row r="19" spans="1:10" ht="30.75">
      <c r="A19" s="6" t="s">
        <v>248</v>
      </c>
      <c r="B19" s="6" t="s">
        <v>242</v>
      </c>
      <c r="C19" s="2" t="s">
        <v>63</v>
      </c>
      <c r="D19" s="2" t="s">
        <v>14</v>
      </c>
      <c r="E19" s="2" t="s">
        <v>19</v>
      </c>
      <c r="F19" s="2"/>
      <c r="G19" s="2">
        <v>248</v>
      </c>
      <c r="H19" s="2" t="str">
        <f>REPT("★", F19) &amp; REPT("☆", 5 - F19)</f>
        <v>☆☆☆☆☆</v>
      </c>
      <c r="I19" s="7"/>
      <c r="J19" s="2"/>
    </row>
    <row r="20" spans="1:10" ht="60.75">
      <c r="A20" s="6" t="s">
        <v>249</v>
      </c>
      <c r="B20" s="6" t="s">
        <v>250</v>
      </c>
      <c r="C20" s="2" t="s">
        <v>36</v>
      </c>
      <c r="D20" s="2" t="s">
        <v>14</v>
      </c>
      <c r="E20" s="2" t="s">
        <v>19</v>
      </c>
      <c r="F20" s="2">
        <v>5</v>
      </c>
      <c r="G20" s="2">
        <v>400</v>
      </c>
      <c r="H20" s="2" t="str">
        <f>REPT("★", F20) &amp; REPT("☆", 5 - F20)</f>
        <v>★★★★★</v>
      </c>
      <c r="I20" s="7"/>
      <c r="J20" s="2"/>
    </row>
    <row r="21" spans="1:10" ht="60.75">
      <c r="A21" s="6" t="s">
        <v>251</v>
      </c>
      <c r="B21" s="6" t="s">
        <v>250</v>
      </c>
      <c r="C21" s="2" t="s">
        <v>36</v>
      </c>
      <c r="D21" s="2" t="s">
        <v>14</v>
      </c>
      <c r="E21" s="2" t="s">
        <v>19</v>
      </c>
      <c r="F21" s="2">
        <v>4</v>
      </c>
      <c r="G21" s="2">
        <v>402</v>
      </c>
      <c r="H21" s="2" t="str">
        <f>REPT("★", F21) &amp; REPT("☆", 5 - F21)</f>
        <v>★★★★☆</v>
      </c>
      <c r="I21" s="7"/>
      <c r="J21" s="2"/>
    </row>
    <row r="22" spans="1:10" ht="76.5">
      <c r="A22" s="6" t="s">
        <v>252</v>
      </c>
      <c r="B22" s="6" t="s">
        <v>253</v>
      </c>
      <c r="C22" s="2" t="s">
        <v>18</v>
      </c>
      <c r="D22" s="2" t="s">
        <v>14</v>
      </c>
      <c r="E22" s="2" t="s">
        <v>19</v>
      </c>
      <c r="F22" s="2">
        <v>4</v>
      </c>
      <c r="G22" s="2">
        <v>336</v>
      </c>
      <c r="H22" s="2" t="str">
        <f>REPT("★", F22) &amp; REPT("☆", 5 - F22)</f>
        <v>★★★★☆</v>
      </c>
      <c r="I22" s="7"/>
      <c r="J22" s="2"/>
    </row>
    <row r="23" spans="1:10" ht="45.75">
      <c r="A23" s="6" t="s">
        <v>254</v>
      </c>
      <c r="B23" s="6" t="s">
        <v>255</v>
      </c>
      <c r="C23" s="2" t="s">
        <v>18</v>
      </c>
      <c r="D23" s="2" t="s">
        <v>14</v>
      </c>
      <c r="E23" s="2" t="s">
        <v>19</v>
      </c>
      <c r="F23" s="2">
        <v>5</v>
      </c>
      <c r="G23" s="2">
        <v>280</v>
      </c>
      <c r="H23" s="2" t="str">
        <f>REPT("★", F23) &amp; REPT("☆", 5 - F23)</f>
        <v>★★★★★</v>
      </c>
      <c r="I23" s="7"/>
      <c r="J23" s="2"/>
    </row>
    <row r="24" spans="1:10" ht="45.75">
      <c r="A24" s="6" t="s">
        <v>256</v>
      </c>
      <c r="B24" s="6" t="s">
        <v>257</v>
      </c>
      <c r="C24" s="2" t="s">
        <v>18</v>
      </c>
      <c r="D24" s="2" t="s">
        <v>14</v>
      </c>
      <c r="E24" s="2" t="s">
        <v>19</v>
      </c>
      <c r="F24" s="2">
        <v>4</v>
      </c>
      <c r="G24" s="2">
        <v>176</v>
      </c>
      <c r="H24" s="2" t="str">
        <f>REPT("★", F24) &amp; REPT("☆", 5 - F24)</f>
        <v>★★★★☆</v>
      </c>
      <c r="I24" s="7"/>
      <c r="J24" s="2"/>
    </row>
    <row r="25" spans="1:10" ht="30.75">
      <c r="A25" s="6" t="s">
        <v>258</v>
      </c>
      <c r="B25" s="6" t="s">
        <v>128</v>
      </c>
      <c r="C25" s="2" t="s">
        <v>259</v>
      </c>
      <c r="D25" s="2" t="s">
        <v>14</v>
      </c>
      <c r="E25" s="2" t="s">
        <v>19</v>
      </c>
      <c r="F25" s="2">
        <v>5</v>
      </c>
      <c r="G25" s="2">
        <v>272</v>
      </c>
      <c r="H25" s="2" t="str">
        <f>REPT("★", F25) &amp; REPT("☆", 5 - F25)</f>
        <v>★★★★★</v>
      </c>
      <c r="I25" s="7"/>
      <c r="J25" s="2"/>
    </row>
    <row r="26" spans="1:10" ht="60.75">
      <c r="A26" s="6" t="s">
        <v>260</v>
      </c>
      <c r="B26" s="6" t="s">
        <v>261</v>
      </c>
      <c r="C26" s="2" t="s">
        <v>262</v>
      </c>
      <c r="D26" s="2" t="s">
        <v>14</v>
      </c>
      <c r="E26" s="2" t="s">
        <v>19</v>
      </c>
      <c r="F26" s="2">
        <v>5</v>
      </c>
      <c r="G26" s="2">
        <v>96</v>
      </c>
      <c r="H26" s="2" t="str">
        <f>REPT("★", F26) &amp; REPT("☆", 5 - F26)</f>
        <v>★★★★★</v>
      </c>
      <c r="I26" s="7"/>
      <c r="J26" s="2"/>
    </row>
    <row r="27" spans="1:10" ht="76.5">
      <c r="A27" s="6" t="s">
        <v>263</v>
      </c>
      <c r="B27" s="6" t="s">
        <v>264</v>
      </c>
      <c r="C27" s="2"/>
      <c r="D27" s="2" t="s">
        <v>14</v>
      </c>
      <c r="E27" s="2" t="s">
        <v>19</v>
      </c>
      <c r="F27" s="2">
        <v>5</v>
      </c>
      <c r="G27" s="2">
        <v>208</v>
      </c>
      <c r="H27" s="2" t="str">
        <f>REPT("★", F27) &amp; REPT("☆", 5 - F27)</f>
        <v>★★★★★</v>
      </c>
      <c r="I27" s="7"/>
      <c r="J27" s="2"/>
    </row>
    <row r="28" spans="1:10" ht="60.75">
      <c r="A28" s="6" t="s">
        <v>265</v>
      </c>
      <c r="B28" s="6"/>
      <c r="C28" s="2" t="s">
        <v>266</v>
      </c>
      <c r="D28" s="2" t="s">
        <v>14</v>
      </c>
      <c r="E28" s="2" t="s">
        <v>15</v>
      </c>
      <c r="F28" s="2">
        <v>4</v>
      </c>
      <c r="G28" s="2">
        <v>60</v>
      </c>
      <c r="H28" s="2" t="str">
        <f>REPT("★", F28) &amp; REPT("☆", 5 - F28)</f>
        <v>★★★★☆</v>
      </c>
      <c r="I28" s="7"/>
      <c r="J28" s="2"/>
    </row>
    <row r="29" spans="1:10" ht="91.5">
      <c r="A29" s="6" t="s">
        <v>267</v>
      </c>
      <c r="B29" s="6" t="s">
        <v>268</v>
      </c>
      <c r="C29" s="2" t="s">
        <v>269</v>
      </c>
      <c r="D29" s="2" t="s">
        <v>14</v>
      </c>
      <c r="E29" s="2" t="s">
        <v>19</v>
      </c>
      <c r="F29" s="2">
        <v>2.5</v>
      </c>
      <c r="G29" s="2">
        <v>144</v>
      </c>
      <c r="H29" s="2" t="str">
        <f>REPT("★", F29) &amp; REPT("☆", 5 - F29)</f>
        <v>★★☆☆</v>
      </c>
      <c r="I29" s="7"/>
      <c r="J29" s="2"/>
    </row>
    <row r="30" spans="1:10" ht="76.5">
      <c r="A30" s="6" t="s">
        <v>270</v>
      </c>
      <c r="B30" s="6"/>
      <c r="C30" s="2"/>
      <c r="D30" s="2" t="s">
        <v>14</v>
      </c>
      <c r="E30" s="2" t="s">
        <v>15</v>
      </c>
      <c r="F30" s="2">
        <v>4.9000000000000004</v>
      </c>
      <c r="G30" s="2"/>
      <c r="H30" s="2" t="str">
        <f>REPT("★", F30) &amp; REPT("☆", 5 - F30)</f>
        <v>★★★★</v>
      </c>
      <c r="I30" s="7"/>
      <c r="J30" s="2"/>
    </row>
  </sheetData>
  <mergeCells count="1">
    <mergeCell ref="A1:J1"/>
  </mergeCells>
  <conditionalFormatting sqref="D1:D4">
    <cfRule type="containsText" dxfId="87" priority="5" operator="containsText" text="WANT TO READ">
      <formula>NOT(ISERROR(SEARCH("WANT TO READ",D1)))</formula>
    </cfRule>
    <cfRule type="containsText" dxfId="86" priority="6" operator="containsText" text="ABANDONED">
      <formula>NOT(ISERROR(SEARCH("ABANDONED",D1)))</formula>
    </cfRule>
    <cfRule type="containsText" dxfId="85" priority="7" operator="containsText" text="READING">
      <formula>NOT(ISERROR(SEARCH("READING",D1)))</formula>
    </cfRule>
    <cfRule type="containsText" dxfId="84" priority="8" operator="containsText" text="FINISHED">
      <formula>NOT(ISERROR(SEARCH("FINISHED",D1)))</formula>
    </cfRule>
  </conditionalFormatting>
  <conditionalFormatting sqref="D5:D30">
    <cfRule type="containsText" dxfId="83" priority="1" operator="containsText" text="WANT TO READ">
      <formula>NOT(ISERROR(SEARCH("WANT TO READ",D5)))</formula>
    </cfRule>
    <cfRule type="containsText" dxfId="82" priority="2" operator="containsText" text="ABANDONED">
      <formula>NOT(ISERROR(SEARCH("ABANDONED",D5)))</formula>
    </cfRule>
    <cfRule type="containsText" dxfId="81" priority="3" operator="containsText" text="READING">
      <formula>NOT(ISERROR(SEARCH("READING",D5)))</formula>
    </cfRule>
    <cfRule type="containsText" dxfId="80" priority="4" operator="containsText" text="FINISHED">
      <formula>NOT(ISERROR(SEARCH("FINISHED",D5)))</formula>
    </cfRule>
  </conditionalFormatting>
  <dataValidations count="2">
    <dataValidation type="list" allowBlank="1" showInputMessage="1" showErrorMessage="1" sqref="D5:D30" xr:uid="{2B11D092-4F36-4A49-9D52-066ABE444FBE}">
      <formula1>"Reading, Finished, Want to Read, Abandoned"</formula1>
    </dataValidation>
    <dataValidation type="list" allowBlank="1" showInputMessage="1" showErrorMessage="1" sqref="E5:E30" xr:uid="{124DCF05-3BD2-4CD7-943F-7A960535D5F5}">
      <formula1>"Physical, Ebook, Audiobook"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60AB-8B74-4367-A091-88F0C567BBE1}">
  <dimension ref="A1:J19"/>
  <sheetViews>
    <sheetView workbookViewId="0">
      <selection activeCell="B12" sqref="B12"/>
    </sheetView>
  </sheetViews>
  <sheetFormatPr defaultRowHeight="15"/>
  <cols>
    <col min="1" max="1" width="22.28515625" customWidth="1"/>
    <col min="2" max="2" width="20.7109375" customWidth="1"/>
    <col min="3" max="3" width="18.140625" customWidth="1"/>
    <col min="4" max="4" width="18.42578125" customWidth="1"/>
    <col min="5" max="5" width="18.85546875" customWidth="1"/>
    <col min="6" max="6" width="17.85546875" customWidth="1"/>
    <col min="7" max="7" width="18.5703125" customWidth="1"/>
    <col min="8" max="8" width="17.85546875" customWidth="1"/>
    <col min="9" max="9" width="18.140625" customWidth="1"/>
    <col min="10" max="10" width="20.140625" customWidth="1"/>
  </cols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6</v>
      </c>
      <c r="B3" s="2"/>
      <c r="C3" s="2"/>
      <c r="D3" s="2">
        <f>COUNTIF(D5:D200, "Finished")</f>
        <v>6</v>
      </c>
      <c r="E3" s="2"/>
      <c r="F3" s="2">
        <f>AVERAGE(F5:F200)</f>
        <v>4.5</v>
      </c>
      <c r="G3" s="2">
        <f>SUM(G5:G100)</f>
        <v>1619</v>
      </c>
      <c r="H3" s="2">
        <f>COUNTIF(F5:H200, 5)</f>
        <v>3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>
      <c r="A5" s="6" t="s">
        <v>11</v>
      </c>
      <c r="B5" s="6" t="s">
        <v>12</v>
      </c>
      <c r="C5" s="2" t="s">
        <v>13</v>
      </c>
      <c r="D5" s="2" t="s">
        <v>14</v>
      </c>
      <c r="E5" s="2" t="s">
        <v>15</v>
      </c>
      <c r="F5" s="2">
        <v>4.5</v>
      </c>
      <c r="G5" s="2">
        <v>256</v>
      </c>
      <c r="H5" s="2" t="str">
        <f>REPT("★", F5) &amp; REPT("☆", 5 - F5)</f>
        <v>★★★★</v>
      </c>
      <c r="I5" s="7">
        <v>42757</v>
      </c>
      <c r="J5" s="2"/>
    </row>
    <row r="6" spans="1:10" ht="30.75">
      <c r="A6" s="6" t="s">
        <v>16</v>
      </c>
      <c r="B6" s="6" t="s">
        <v>17</v>
      </c>
      <c r="C6" s="2" t="s">
        <v>18</v>
      </c>
      <c r="D6" s="2" t="s">
        <v>14</v>
      </c>
      <c r="E6" s="2" t="s">
        <v>19</v>
      </c>
      <c r="F6" s="2">
        <v>5</v>
      </c>
      <c r="G6" s="2">
        <v>256</v>
      </c>
      <c r="H6" s="2" t="str">
        <f>REPT("★", F6) &amp; REPT("☆", 5 - F6)</f>
        <v>★★★★★</v>
      </c>
      <c r="I6" s="7">
        <v>42758</v>
      </c>
      <c r="J6" s="2"/>
    </row>
    <row r="7" spans="1:10">
      <c r="A7" s="6" t="s">
        <v>20</v>
      </c>
      <c r="B7" s="6" t="s">
        <v>21</v>
      </c>
      <c r="C7" s="2" t="s">
        <v>22</v>
      </c>
      <c r="D7" s="2" t="s">
        <v>14</v>
      </c>
      <c r="E7" s="2" t="s">
        <v>19</v>
      </c>
      <c r="F7" s="2">
        <v>5</v>
      </c>
      <c r="G7" s="2">
        <v>400</v>
      </c>
      <c r="H7" s="2" t="str">
        <f>REPT("★", F7) &amp; REPT("☆", 5 - F7)</f>
        <v>★★★★★</v>
      </c>
      <c r="I7" s="7">
        <v>42861</v>
      </c>
      <c r="J7" s="2" t="s">
        <v>23</v>
      </c>
    </row>
    <row r="8" spans="1:10">
      <c r="A8" s="6" t="s">
        <v>24</v>
      </c>
      <c r="B8" s="6" t="s">
        <v>21</v>
      </c>
      <c r="C8" s="2" t="s">
        <v>22</v>
      </c>
      <c r="D8" s="2" t="s">
        <v>14</v>
      </c>
      <c r="E8" s="2" t="s">
        <v>19</v>
      </c>
      <c r="F8" s="2">
        <v>5</v>
      </c>
      <c r="G8" s="2">
        <v>416</v>
      </c>
      <c r="H8" s="2" t="str">
        <f>REPT("★", F8) &amp; REPT("☆", 5 - F8)</f>
        <v>★★★★★</v>
      </c>
      <c r="I8" s="7">
        <v>42890</v>
      </c>
      <c r="J8" s="2" t="s">
        <v>23</v>
      </c>
    </row>
    <row r="9" spans="1:10" ht="30.75">
      <c r="A9" s="6" t="s">
        <v>25</v>
      </c>
      <c r="B9" s="6" t="s">
        <v>26</v>
      </c>
      <c r="C9" s="2"/>
      <c r="D9" s="2" t="s">
        <v>14</v>
      </c>
      <c r="E9" s="2" t="s">
        <v>15</v>
      </c>
      <c r="F9" s="2">
        <v>3.5</v>
      </c>
      <c r="G9" s="2">
        <v>243</v>
      </c>
      <c r="H9" s="2" t="str">
        <f>REPT("★", F9) &amp; REPT("☆", 5 - F9)</f>
        <v>★★★☆</v>
      </c>
      <c r="I9" s="7">
        <v>43006</v>
      </c>
      <c r="J9" s="2"/>
    </row>
    <row r="10" spans="1:10" ht="45.75">
      <c r="A10" s="6" t="s">
        <v>27</v>
      </c>
      <c r="B10" s="6" t="s">
        <v>28</v>
      </c>
      <c r="C10" s="2" t="s">
        <v>29</v>
      </c>
      <c r="D10" s="2" t="s">
        <v>14</v>
      </c>
      <c r="E10" s="2" t="s">
        <v>19</v>
      </c>
      <c r="F10" s="2">
        <v>4</v>
      </c>
      <c r="G10" s="2">
        <v>48</v>
      </c>
      <c r="H10" s="2" t="str">
        <f>REPT("★", F10) &amp; REPT("☆", 5 - F10)</f>
        <v>★★★★☆</v>
      </c>
      <c r="I10" s="7">
        <v>43027</v>
      </c>
      <c r="J10" s="2"/>
    </row>
    <row r="11" spans="1:10">
      <c r="A11" s="1"/>
      <c r="B11" s="1"/>
      <c r="C11" s="1"/>
      <c r="D11" s="1"/>
      <c r="E11" s="1"/>
      <c r="F11" s="1"/>
      <c r="G11" s="1"/>
      <c r="H11" s="1"/>
      <c r="I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</sheetData>
  <mergeCells count="1">
    <mergeCell ref="A1:J1"/>
  </mergeCells>
  <conditionalFormatting sqref="D1:D10">
    <cfRule type="containsText" dxfId="79" priority="1" operator="containsText" text="WANT TO READ">
      <formula>NOT(ISERROR(SEARCH("WANT TO READ",D1)))</formula>
    </cfRule>
    <cfRule type="containsText" dxfId="78" priority="2" operator="containsText" text="ABANDONED">
      <formula>NOT(ISERROR(SEARCH("ABANDONED",D1)))</formula>
    </cfRule>
    <cfRule type="containsText" dxfId="77" priority="3" operator="containsText" text="READING">
      <formula>NOT(ISERROR(SEARCH("READING",D1)))</formula>
    </cfRule>
    <cfRule type="containsText" dxfId="76" priority="4" operator="containsText" text="FINISHED">
      <formula>NOT(ISERROR(SEARCH("FINISHED",D1)))</formula>
    </cfRule>
  </conditionalFormatting>
  <dataValidations count="2">
    <dataValidation type="list" allowBlank="1" showInputMessage="1" showErrorMessage="1" sqref="D5:D19" xr:uid="{4331DF8D-EA64-45EA-B749-2D183AC03848}">
      <formula1>"Reading, Finished, Want to Read, Abandoned"</formula1>
    </dataValidation>
    <dataValidation type="list" allowBlank="1" showInputMessage="1" showErrorMessage="1" sqref="E5:E19" xr:uid="{0DF5E95B-60DD-4920-A9E2-BAEFBB415A6A}">
      <formula1>"Physical, Ebook, Audiobook"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02EB-5A5A-4EB0-BCD4-CF87463134D0}">
  <dimension ref="A1:J10"/>
  <sheetViews>
    <sheetView workbookViewId="0">
      <selection activeCell="A6" sqref="A6"/>
    </sheetView>
  </sheetViews>
  <sheetFormatPr defaultRowHeight="15"/>
  <cols>
    <col min="1" max="1" width="27.28515625" customWidth="1"/>
    <col min="2" max="2" width="20.28515625" customWidth="1"/>
    <col min="3" max="3" width="15.42578125" customWidth="1"/>
    <col min="4" max="4" width="14.7109375" customWidth="1"/>
    <col min="5" max="5" width="17.28515625" customWidth="1"/>
    <col min="6" max="6" width="18.42578125" customWidth="1"/>
    <col min="7" max="7" width="13.85546875" customWidth="1"/>
    <col min="8" max="8" width="19.140625" customWidth="1"/>
    <col min="9" max="9" width="19.5703125" customWidth="1"/>
    <col min="10" max="10" width="31.140625" customWidth="1"/>
  </cols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5</v>
      </c>
      <c r="B3" s="2"/>
      <c r="C3" s="2"/>
      <c r="D3" s="2">
        <f>COUNTIF(D5:D200, "Finished")</f>
        <v>5</v>
      </c>
      <c r="E3" s="2"/>
      <c r="F3" s="2">
        <f>AVERAGE(F5:F200)</f>
        <v>4.5</v>
      </c>
      <c r="G3" s="2">
        <f>SUM(G5:G100)</f>
        <v>1449</v>
      </c>
      <c r="H3" s="2">
        <f>COUNTIF(F5:H200, 5)</f>
        <v>3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>
      <c r="A5" s="6" t="s">
        <v>30</v>
      </c>
      <c r="B5" s="6" t="s">
        <v>21</v>
      </c>
      <c r="C5" s="2" t="s">
        <v>22</v>
      </c>
      <c r="D5" s="2" t="s">
        <v>14</v>
      </c>
      <c r="E5" s="2" t="s">
        <v>19</v>
      </c>
      <c r="F5" s="2">
        <v>5</v>
      </c>
      <c r="G5" s="2">
        <v>424</v>
      </c>
      <c r="H5" s="2" t="str">
        <f>REPT("★", F5) &amp; REPT("☆", 5 - F5)</f>
        <v>★★★★★</v>
      </c>
      <c r="I5" s="7">
        <v>43171</v>
      </c>
      <c r="J5" s="2" t="s">
        <v>31</v>
      </c>
    </row>
    <row r="6" spans="1:10" ht="42.75" customHeight="1">
      <c r="A6" s="6" t="s">
        <v>32</v>
      </c>
      <c r="B6" s="6" t="s">
        <v>33</v>
      </c>
      <c r="C6" s="2"/>
      <c r="D6" s="2" t="s">
        <v>14</v>
      </c>
      <c r="E6" s="2" t="s">
        <v>19</v>
      </c>
      <c r="F6" s="2">
        <v>3.5</v>
      </c>
      <c r="G6" s="2">
        <v>145</v>
      </c>
      <c r="H6" s="2" t="str">
        <f>REPT("★", F6) &amp; REPT("☆", 5 - F6)</f>
        <v>★★★☆</v>
      </c>
      <c r="I6" s="7">
        <v>43241</v>
      </c>
      <c r="J6" s="2"/>
    </row>
    <row r="7" spans="1:10">
      <c r="A7" s="6" t="s">
        <v>34</v>
      </c>
      <c r="B7" s="6" t="s">
        <v>35</v>
      </c>
      <c r="C7" s="2" t="s">
        <v>36</v>
      </c>
      <c r="D7" s="2" t="s">
        <v>14</v>
      </c>
      <c r="E7" s="2" t="s">
        <v>19</v>
      </c>
      <c r="F7" s="2">
        <v>4</v>
      </c>
      <c r="G7" s="2">
        <v>416</v>
      </c>
      <c r="H7" s="2" t="str">
        <f>REPT("★", F7) &amp; REPT("☆", 5 - F7)</f>
        <v>★★★★☆</v>
      </c>
      <c r="I7" s="7">
        <v>43286</v>
      </c>
      <c r="J7" s="2"/>
    </row>
    <row r="8" spans="1:10" ht="30.75">
      <c r="A8" s="6" t="s">
        <v>37</v>
      </c>
      <c r="B8" s="6" t="s">
        <v>38</v>
      </c>
      <c r="C8" s="2" t="s">
        <v>36</v>
      </c>
      <c r="D8" s="2" t="s">
        <v>14</v>
      </c>
      <c r="E8" s="2" t="s">
        <v>19</v>
      </c>
      <c r="F8" s="2">
        <v>5</v>
      </c>
      <c r="G8" s="2">
        <v>320</v>
      </c>
      <c r="H8" s="2" t="str">
        <f>REPT("★", F8) &amp; REPT("☆", 5 - F8)</f>
        <v>★★★★★</v>
      </c>
      <c r="I8" s="7">
        <v>43286</v>
      </c>
      <c r="J8" s="2" t="s">
        <v>39</v>
      </c>
    </row>
    <row r="9" spans="1:10">
      <c r="A9" s="6" t="s">
        <v>40</v>
      </c>
      <c r="B9" s="6" t="s">
        <v>41</v>
      </c>
      <c r="C9" s="2" t="s">
        <v>42</v>
      </c>
      <c r="D9" s="2" t="s">
        <v>14</v>
      </c>
      <c r="E9" s="2" t="s">
        <v>19</v>
      </c>
      <c r="F9" s="2">
        <v>5</v>
      </c>
      <c r="G9" s="2">
        <v>144</v>
      </c>
      <c r="H9" s="2" t="str">
        <f>REPT("★", F9) &amp; REPT("☆", 5 - F9)</f>
        <v>★★★★★</v>
      </c>
      <c r="I9" s="7">
        <v>43425</v>
      </c>
      <c r="J9" s="2"/>
    </row>
    <row r="10" spans="1:10">
      <c r="A10" s="6"/>
      <c r="B10" s="6"/>
      <c r="C10" s="2"/>
      <c r="D10" s="2"/>
      <c r="E10" s="2"/>
      <c r="F10" s="2"/>
      <c r="G10" s="2"/>
      <c r="H10" s="2"/>
      <c r="I10" s="7"/>
      <c r="J10" s="2"/>
    </row>
  </sheetData>
  <mergeCells count="1">
    <mergeCell ref="A1:J1"/>
  </mergeCells>
  <conditionalFormatting sqref="D1:D4 D10">
    <cfRule type="containsText" dxfId="75" priority="5" operator="containsText" text="WANT TO READ">
      <formula>NOT(ISERROR(SEARCH("WANT TO READ",D1)))</formula>
    </cfRule>
    <cfRule type="containsText" dxfId="74" priority="6" operator="containsText" text="ABANDONED">
      <formula>NOT(ISERROR(SEARCH("ABANDONED",D1)))</formula>
    </cfRule>
    <cfRule type="containsText" dxfId="73" priority="7" operator="containsText" text="READING">
      <formula>NOT(ISERROR(SEARCH("READING",D1)))</formula>
    </cfRule>
    <cfRule type="containsText" dxfId="72" priority="8" operator="containsText" text="FINISHED">
      <formula>NOT(ISERROR(SEARCH("FINISHED",D1)))</formula>
    </cfRule>
  </conditionalFormatting>
  <conditionalFormatting sqref="D5:D9">
    <cfRule type="containsText" dxfId="71" priority="1" operator="containsText" text="WANT TO READ">
      <formula>NOT(ISERROR(SEARCH("WANT TO READ",D5)))</formula>
    </cfRule>
    <cfRule type="containsText" dxfId="70" priority="2" operator="containsText" text="ABANDONED">
      <formula>NOT(ISERROR(SEARCH("ABANDONED",D5)))</formula>
    </cfRule>
    <cfRule type="containsText" dxfId="69" priority="3" operator="containsText" text="READING">
      <formula>NOT(ISERROR(SEARCH("READING",D5)))</formula>
    </cfRule>
    <cfRule type="containsText" dxfId="68" priority="4" operator="containsText" text="FINISHED">
      <formula>NOT(ISERROR(SEARCH("FINISHED",D5)))</formula>
    </cfRule>
  </conditionalFormatting>
  <dataValidations count="2">
    <dataValidation type="list" allowBlank="1" showInputMessage="1" showErrorMessage="1" sqref="E5:E10" xr:uid="{08535A9A-6D58-403E-BABF-795B54CECD00}">
      <formula1>"Physical, Ebook, Audiobook"</formula1>
    </dataValidation>
    <dataValidation type="list" allowBlank="1" showInputMessage="1" showErrorMessage="1" sqref="D5:D10" xr:uid="{FD2546BD-4512-4C79-B674-BFBB97B3C144}">
      <formula1>"Reading, Finished, Want to Read, Abandoned"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B8E1-4130-448A-B6CA-2637C2BE1D7A}">
  <dimension ref="A1:J12"/>
  <sheetViews>
    <sheetView workbookViewId="0">
      <selection activeCell="F8" sqref="F8"/>
    </sheetView>
  </sheetViews>
  <sheetFormatPr defaultRowHeight="15"/>
  <cols>
    <col min="1" max="1" width="25.28515625" customWidth="1"/>
    <col min="2" max="2" width="20.28515625" customWidth="1"/>
    <col min="3" max="3" width="13.7109375" customWidth="1"/>
    <col min="4" max="4" width="14.140625" customWidth="1"/>
    <col min="5" max="5" width="15.140625" customWidth="1"/>
    <col min="6" max="6" width="17.5703125" customWidth="1"/>
    <col min="7" max="7" width="13.42578125" customWidth="1"/>
    <col min="8" max="8" width="18.42578125" customWidth="1"/>
    <col min="9" max="9" width="19.140625" customWidth="1"/>
    <col min="10" max="10" width="35.140625" customWidth="1"/>
  </cols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8</v>
      </c>
      <c r="B3" s="2"/>
      <c r="C3" s="2"/>
      <c r="D3" s="2">
        <f>COUNTIF(D5:D200, "Finished")</f>
        <v>8</v>
      </c>
      <c r="E3" s="2"/>
      <c r="F3" s="2">
        <f>AVERAGE(F5:F200)</f>
        <v>3.8125</v>
      </c>
      <c r="G3" s="2">
        <f>SUM(G5:G100)</f>
        <v>1397</v>
      </c>
      <c r="H3" s="2">
        <f>COUNTIF(F5:H200, 5)</f>
        <v>3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 ht="45.75">
      <c r="A5" s="6" t="s">
        <v>43</v>
      </c>
      <c r="B5" s="6" t="s">
        <v>44</v>
      </c>
      <c r="C5" s="2" t="s">
        <v>36</v>
      </c>
      <c r="D5" s="2" t="s">
        <v>14</v>
      </c>
      <c r="E5" s="2" t="s">
        <v>19</v>
      </c>
      <c r="F5" s="2">
        <v>5</v>
      </c>
      <c r="G5" s="2">
        <v>304</v>
      </c>
      <c r="H5" s="2" t="str">
        <f>REPT("★", F5) &amp; REPT("☆", 5 - F5)</f>
        <v>★★★★★</v>
      </c>
      <c r="I5" s="7">
        <v>43852</v>
      </c>
      <c r="J5" s="2" t="s">
        <v>45</v>
      </c>
    </row>
    <row r="6" spans="1:10" ht="45.75">
      <c r="A6" s="6" t="s">
        <v>46</v>
      </c>
      <c r="B6" s="6" t="s">
        <v>21</v>
      </c>
      <c r="C6" s="2" t="s">
        <v>22</v>
      </c>
      <c r="D6" s="2" t="s">
        <v>14</v>
      </c>
      <c r="E6" s="2" t="s">
        <v>47</v>
      </c>
      <c r="F6" s="2">
        <v>5</v>
      </c>
      <c r="G6" s="2"/>
      <c r="H6" s="2" t="str">
        <f>REPT("★", F6) &amp; REPT("☆", 5 - F6)</f>
        <v>★★★★★</v>
      </c>
      <c r="I6" s="7">
        <v>43888</v>
      </c>
      <c r="J6" s="2" t="s">
        <v>48</v>
      </c>
    </row>
    <row r="7" spans="1:10" ht="30.75">
      <c r="A7" s="6" t="s">
        <v>49</v>
      </c>
      <c r="B7" s="6" t="s">
        <v>21</v>
      </c>
      <c r="C7" s="2" t="s">
        <v>22</v>
      </c>
      <c r="D7" s="2" t="s">
        <v>14</v>
      </c>
      <c r="E7" s="2" t="s">
        <v>47</v>
      </c>
      <c r="F7" s="2">
        <v>5</v>
      </c>
      <c r="G7" s="2"/>
      <c r="H7" s="2" t="str">
        <f>REPT("★", F7) &amp; REPT("☆", 5 - F7)</f>
        <v>★★★★★</v>
      </c>
      <c r="I7" s="7">
        <v>43893</v>
      </c>
      <c r="J7" s="2"/>
    </row>
    <row r="8" spans="1:10" ht="30.75">
      <c r="A8" s="6" t="s">
        <v>50</v>
      </c>
      <c r="B8" s="6" t="s">
        <v>51</v>
      </c>
      <c r="C8" s="2"/>
      <c r="D8" s="2" t="s">
        <v>14</v>
      </c>
      <c r="E8" s="2" t="s">
        <v>19</v>
      </c>
      <c r="F8" s="2">
        <v>3.5</v>
      </c>
      <c r="G8" s="2">
        <v>208</v>
      </c>
      <c r="H8" s="2" t="str">
        <f>REPT("★", F8) &amp; REPT("☆", 5 - F8)</f>
        <v>★★★☆</v>
      </c>
      <c r="I8" s="7">
        <v>43969</v>
      </c>
      <c r="J8" s="2"/>
    </row>
    <row r="9" spans="1:10" ht="30.75">
      <c r="A9" s="6" t="s">
        <v>52</v>
      </c>
      <c r="B9" s="6" t="s">
        <v>53</v>
      </c>
      <c r="C9" s="2" t="s">
        <v>42</v>
      </c>
      <c r="D9" s="2" t="s">
        <v>14</v>
      </c>
      <c r="E9" s="2" t="s">
        <v>19</v>
      </c>
      <c r="F9" s="2">
        <v>4</v>
      </c>
      <c r="G9" s="2">
        <v>128</v>
      </c>
      <c r="H9" s="2" t="str">
        <f>REPT("★", F9) &amp; REPT("☆", 5 - F9)</f>
        <v>★★★★☆</v>
      </c>
      <c r="I9" s="7">
        <v>43973</v>
      </c>
      <c r="J9" s="2" t="s">
        <v>54</v>
      </c>
    </row>
    <row r="10" spans="1:10" ht="30.75">
      <c r="A10" s="6" t="s">
        <v>55</v>
      </c>
      <c r="B10" s="6" t="s">
        <v>56</v>
      </c>
      <c r="C10" s="2" t="s">
        <v>36</v>
      </c>
      <c r="D10" s="2" t="s">
        <v>14</v>
      </c>
      <c r="E10" s="2" t="s">
        <v>19</v>
      </c>
      <c r="F10" s="2">
        <v>1</v>
      </c>
      <c r="G10" s="2">
        <v>174</v>
      </c>
      <c r="H10" s="2" t="str">
        <f>REPT("★", F10) &amp; REPT("☆", 5 - F10)</f>
        <v>★☆☆☆☆</v>
      </c>
      <c r="I10" s="7">
        <v>44003</v>
      </c>
      <c r="J10" s="2" t="s">
        <v>54</v>
      </c>
    </row>
    <row r="11" spans="1:10" ht="91.5">
      <c r="A11" s="6" t="s">
        <v>57</v>
      </c>
      <c r="B11" s="6" t="s">
        <v>58</v>
      </c>
      <c r="C11" s="2" t="s">
        <v>59</v>
      </c>
      <c r="D11" s="2" t="s">
        <v>14</v>
      </c>
      <c r="E11" s="2" t="s">
        <v>19</v>
      </c>
      <c r="F11" s="2">
        <v>3.5</v>
      </c>
      <c r="G11" s="2">
        <v>295</v>
      </c>
      <c r="H11" s="2" t="str">
        <f>REPT("★", F11) &amp; REPT("☆", 5 - F11)</f>
        <v>★★★☆</v>
      </c>
      <c r="I11" s="7">
        <v>44014</v>
      </c>
      <c r="J11" s="2"/>
    </row>
    <row r="12" spans="1:10" ht="60.75">
      <c r="A12" s="6" t="s">
        <v>60</v>
      </c>
      <c r="B12" s="6" t="s">
        <v>61</v>
      </c>
      <c r="C12" s="2"/>
      <c r="D12" s="2" t="s">
        <v>14</v>
      </c>
      <c r="E12" s="2" t="s">
        <v>19</v>
      </c>
      <c r="F12" s="2">
        <v>3.5</v>
      </c>
      <c r="G12" s="2">
        <v>288</v>
      </c>
      <c r="H12" s="2" t="str">
        <f>REPT("★", F12) &amp; REPT("☆", 5 - F12)</f>
        <v>★★★☆</v>
      </c>
      <c r="I12" s="7">
        <v>44108</v>
      </c>
      <c r="J12" s="2"/>
    </row>
  </sheetData>
  <mergeCells count="1">
    <mergeCell ref="A1:J1"/>
  </mergeCells>
  <conditionalFormatting sqref="D1:D4">
    <cfRule type="containsText" dxfId="67" priority="5" operator="containsText" text="WANT TO READ">
      <formula>NOT(ISERROR(SEARCH("WANT TO READ",D1)))</formula>
    </cfRule>
    <cfRule type="containsText" dxfId="66" priority="6" operator="containsText" text="ABANDONED">
      <formula>NOT(ISERROR(SEARCH("ABANDONED",D1)))</formula>
    </cfRule>
    <cfRule type="containsText" dxfId="65" priority="7" operator="containsText" text="READING">
      <formula>NOT(ISERROR(SEARCH("READING",D1)))</formula>
    </cfRule>
    <cfRule type="containsText" dxfId="64" priority="8" operator="containsText" text="FINISHED">
      <formula>NOT(ISERROR(SEARCH("FINISHED",D1)))</formula>
    </cfRule>
  </conditionalFormatting>
  <conditionalFormatting sqref="D5:D12">
    <cfRule type="containsText" dxfId="63" priority="1" operator="containsText" text="WANT TO READ">
      <formula>NOT(ISERROR(SEARCH("WANT TO READ",D5)))</formula>
    </cfRule>
    <cfRule type="containsText" dxfId="62" priority="2" operator="containsText" text="ABANDONED">
      <formula>NOT(ISERROR(SEARCH("ABANDONED",D5)))</formula>
    </cfRule>
    <cfRule type="containsText" dxfId="61" priority="3" operator="containsText" text="READING">
      <formula>NOT(ISERROR(SEARCH("READING",D5)))</formula>
    </cfRule>
    <cfRule type="containsText" dxfId="60" priority="4" operator="containsText" text="FINISHED">
      <formula>NOT(ISERROR(SEARCH("FINISHED",D5)))</formula>
    </cfRule>
  </conditionalFormatting>
  <dataValidations count="2">
    <dataValidation type="list" allowBlank="1" showInputMessage="1" showErrorMessage="1" sqref="D5:D12" xr:uid="{C4FDE5C7-EAA1-4B4C-B6F5-D04B76590D90}">
      <formula1>"Reading, Finished, Want to Read, Abandoned"</formula1>
    </dataValidation>
    <dataValidation type="list" allowBlank="1" showInputMessage="1" showErrorMessage="1" sqref="E5:E12" xr:uid="{E2999DCD-A005-4312-BC01-CE1600B66153}">
      <formula1>"Physical, Ebook, Audiobook"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6673-4705-4E22-B8EA-3425534C1D37}">
  <dimension ref="A1:J10"/>
  <sheetViews>
    <sheetView workbookViewId="0">
      <selection activeCell="E11" sqref="E11"/>
    </sheetView>
  </sheetViews>
  <sheetFormatPr defaultRowHeight="15"/>
  <cols>
    <col min="1" max="1" width="16.85546875" customWidth="1"/>
    <col min="2" max="2" width="20.140625" customWidth="1"/>
    <col min="3" max="3" width="13.7109375" customWidth="1"/>
    <col min="4" max="4" width="14.140625" customWidth="1"/>
    <col min="5" max="5" width="14.85546875" customWidth="1"/>
    <col min="6" max="6" width="17.7109375" customWidth="1"/>
    <col min="7" max="7" width="13.28515625" customWidth="1"/>
    <col min="8" max="8" width="17.5703125" customWidth="1"/>
    <col min="9" max="9" width="18.42578125" customWidth="1"/>
    <col min="10" max="10" width="21.42578125" customWidth="1"/>
  </cols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2</v>
      </c>
      <c r="B3" s="2"/>
      <c r="C3" s="2"/>
      <c r="D3" s="2">
        <f>COUNTIF(D5:D200, "Finished")</f>
        <v>2</v>
      </c>
      <c r="E3" s="2"/>
      <c r="F3" s="2">
        <f>AVERAGE(F5:F200)</f>
        <v>3.5</v>
      </c>
      <c r="G3" s="2">
        <f>SUM(G5:G100)</f>
        <v>796</v>
      </c>
      <c r="H3" s="2">
        <f>COUNTIF(F5:H200, 5)</f>
        <v>0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 ht="30.75">
      <c r="A5" s="6" t="s">
        <v>62</v>
      </c>
      <c r="B5" s="6" t="s">
        <v>35</v>
      </c>
      <c r="C5" s="2" t="s">
        <v>63</v>
      </c>
      <c r="D5" s="2" t="s">
        <v>14</v>
      </c>
      <c r="E5" s="2" t="s">
        <v>19</v>
      </c>
      <c r="F5" s="2">
        <v>2.5</v>
      </c>
      <c r="G5" s="2">
        <v>432</v>
      </c>
      <c r="H5" s="2" t="str">
        <f>REPT("★", F5) &amp; REPT("☆", 5 - F5)</f>
        <v>★★☆☆</v>
      </c>
      <c r="I5" s="7">
        <v>44262</v>
      </c>
      <c r="J5" s="2"/>
    </row>
    <row r="6" spans="1:10" ht="30.75">
      <c r="A6" s="6" t="s">
        <v>64</v>
      </c>
      <c r="B6" s="6" t="s">
        <v>65</v>
      </c>
      <c r="C6" s="2" t="s">
        <v>36</v>
      </c>
      <c r="D6" s="2" t="s">
        <v>14</v>
      </c>
      <c r="E6" s="2" t="s">
        <v>19</v>
      </c>
      <c r="F6" s="2">
        <v>4.5</v>
      </c>
      <c r="G6" s="2">
        <v>364</v>
      </c>
      <c r="H6" s="2" t="str">
        <f>REPT("★", F6) &amp; REPT("☆", 5 - F6)</f>
        <v>★★★★</v>
      </c>
      <c r="I6" s="7">
        <v>44286</v>
      </c>
      <c r="J6" s="2"/>
    </row>
    <row r="7" spans="1:10">
      <c r="A7" s="6"/>
      <c r="B7" s="6"/>
      <c r="C7" s="2"/>
      <c r="D7" s="2"/>
      <c r="E7" s="2"/>
      <c r="F7" s="2"/>
      <c r="G7" s="2"/>
      <c r="H7" s="2"/>
      <c r="I7" s="7"/>
      <c r="J7" s="2"/>
    </row>
    <row r="8" spans="1:10">
      <c r="A8" s="6"/>
      <c r="B8" s="6"/>
      <c r="C8" s="2"/>
      <c r="D8" s="2"/>
      <c r="E8" s="2"/>
      <c r="F8" s="2"/>
      <c r="G8" s="2"/>
      <c r="H8" s="2"/>
      <c r="I8" s="7"/>
      <c r="J8" s="2"/>
    </row>
    <row r="9" spans="1:10">
      <c r="A9" s="6"/>
      <c r="B9" s="6"/>
      <c r="C9" s="2"/>
      <c r="D9" s="2"/>
      <c r="E9" s="2"/>
      <c r="F9" s="2"/>
      <c r="G9" s="2"/>
      <c r="H9" s="2"/>
      <c r="I9" s="7"/>
      <c r="J9" s="2"/>
    </row>
    <row r="10" spans="1:10">
      <c r="A10" s="6"/>
      <c r="B10" s="6"/>
      <c r="C10" s="2"/>
      <c r="D10" s="2"/>
      <c r="E10" s="2"/>
      <c r="F10" s="2"/>
      <c r="G10" s="2"/>
      <c r="H10" s="2"/>
      <c r="I10" s="7"/>
      <c r="J10" s="2"/>
    </row>
  </sheetData>
  <mergeCells count="1">
    <mergeCell ref="A1:J1"/>
  </mergeCells>
  <conditionalFormatting sqref="D1:D4 D7:D10">
    <cfRule type="containsText" dxfId="59" priority="5" operator="containsText" text="WANT TO READ">
      <formula>NOT(ISERROR(SEARCH("WANT TO READ",D1)))</formula>
    </cfRule>
    <cfRule type="containsText" dxfId="58" priority="6" operator="containsText" text="ABANDONED">
      <formula>NOT(ISERROR(SEARCH("ABANDONED",D1)))</formula>
    </cfRule>
    <cfRule type="containsText" dxfId="57" priority="7" operator="containsText" text="READING">
      <formula>NOT(ISERROR(SEARCH("READING",D1)))</formula>
    </cfRule>
    <cfRule type="containsText" dxfId="56" priority="8" operator="containsText" text="FINISHED">
      <formula>NOT(ISERROR(SEARCH("FINISHED",D1)))</formula>
    </cfRule>
  </conditionalFormatting>
  <conditionalFormatting sqref="D5:D6">
    <cfRule type="containsText" dxfId="55" priority="1" operator="containsText" text="WANT TO READ">
      <formula>NOT(ISERROR(SEARCH("WANT TO READ",D5)))</formula>
    </cfRule>
    <cfRule type="containsText" dxfId="54" priority="2" operator="containsText" text="ABANDONED">
      <formula>NOT(ISERROR(SEARCH("ABANDONED",D5)))</formula>
    </cfRule>
    <cfRule type="containsText" dxfId="53" priority="3" operator="containsText" text="READING">
      <formula>NOT(ISERROR(SEARCH("READING",D5)))</formula>
    </cfRule>
    <cfRule type="containsText" dxfId="52" priority="4" operator="containsText" text="FINISHED">
      <formula>NOT(ISERROR(SEARCH("FINISHED",D5)))</formula>
    </cfRule>
  </conditionalFormatting>
  <dataValidations count="2">
    <dataValidation type="list" allowBlank="1" showInputMessage="1" showErrorMessage="1" sqref="D5:D10" xr:uid="{04DB89D7-651C-487F-A40F-43CFF2C01A49}">
      <formula1>"Reading, Finished, Want to Read, Abandoned"</formula1>
    </dataValidation>
    <dataValidation type="list" allowBlank="1" showInputMessage="1" showErrorMessage="1" sqref="E5:E10" xr:uid="{A540F29A-218C-4845-B019-147765647C9A}">
      <formula1>"Physical, Ebook, Audiobook"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FBAB-5174-4D97-85B5-E7058FE8E189}">
  <dimension ref="A1:J21"/>
  <sheetViews>
    <sheetView topLeftCell="A6" workbookViewId="0">
      <selection activeCell="F7" sqref="F7"/>
    </sheetView>
  </sheetViews>
  <sheetFormatPr defaultRowHeight="15"/>
  <cols>
    <col min="1" max="1" width="28" customWidth="1"/>
    <col min="2" max="2" width="19.85546875" customWidth="1"/>
    <col min="3" max="3" width="13.140625" customWidth="1"/>
    <col min="4" max="4" width="14.140625" customWidth="1"/>
    <col min="5" max="5" width="15.42578125" customWidth="1"/>
    <col min="6" max="6" width="18" customWidth="1"/>
    <col min="7" max="7" width="14.28515625" customWidth="1"/>
    <col min="8" max="8" width="17.7109375" customWidth="1"/>
    <col min="9" max="9" width="18.42578125" customWidth="1"/>
    <col min="10" max="10" width="32.42578125" customWidth="1"/>
  </cols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17</v>
      </c>
      <c r="B3" s="2"/>
      <c r="C3" s="2"/>
      <c r="D3" s="2">
        <f>COUNTIF(D5:D200, "Finished")</f>
        <v>17</v>
      </c>
      <c r="E3" s="2"/>
      <c r="F3" s="2">
        <f>AVERAGE(F5:F200)</f>
        <v>3.875</v>
      </c>
      <c r="G3" s="2">
        <f>SUM(G5:G100)</f>
        <v>6162</v>
      </c>
      <c r="H3" s="2">
        <f>COUNTIF(F5:H200, 5)</f>
        <v>3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 ht="45.75">
      <c r="A5" s="6" t="s">
        <v>66</v>
      </c>
      <c r="B5" s="6" t="s">
        <v>67</v>
      </c>
      <c r="C5" s="2" t="s">
        <v>13</v>
      </c>
      <c r="D5" s="2" t="s">
        <v>14</v>
      </c>
      <c r="E5" s="2" t="s">
        <v>19</v>
      </c>
      <c r="F5" s="2">
        <v>4.5</v>
      </c>
      <c r="G5" s="2">
        <v>288</v>
      </c>
      <c r="H5" s="2" t="str">
        <f>REPT("★", F5) &amp; REPT("☆", 5 - F5)</f>
        <v>★★★★</v>
      </c>
      <c r="I5" s="7">
        <v>44589</v>
      </c>
      <c r="J5" s="2"/>
    </row>
    <row r="6" spans="1:10" ht="45.75">
      <c r="A6" s="6" t="s">
        <v>68</v>
      </c>
      <c r="B6" s="6" t="s">
        <v>69</v>
      </c>
      <c r="C6" s="2"/>
      <c r="D6" s="2" t="s">
        <v>14</v>
      </c>
      <c r="E6" s="2" t="s">
        <v>19</v>
      </c>
      <c r="F6" s="2">
        <v>1</v>
      </c>
      <c r="G6" s="2">
        <v>382</v>
      </c>
      <c r="H6" s="2" t="str">
        <f>REPT("★", F6) &amp; REPT("☆", 5 - F6)</f>
        <v>★☆☆☆☆</v>
      </c>
      <c r="I6" s="7">
        <v>44600</v>
      </c>
      <c r="J6" s="2"/>
    </row>
    <row r="7" spans="1:10" ht="60.75">
      <c r="A7" s="6" t="s">
        <v>70</v>
      </c>
      <c r="B7" s="6" t="s">
        <v>71</v>
      </c>
      <c r="C7" s="2" t="s">
        <v>36</v>
      </c>
      <c r="D7" s="2" t="s">
        <v>14</v>
      </c>
      <c r="E7" s="2" t="s">
        <v>19</v>
      </c>
      <c r="F7" s="2">
        <v>2.5</v>
      </c>
      <c r="G7" s="2">
        <v>256</v>
      </c>
      <c r="H7" s="2" t="str">
        <f>REPT("★", F7) &amp; REPT("☆", 5 - F7)</f>
        <v>★★☆☆</v>
      </c>
      <c r="I7" s="7">
        <v>44632</v>
      </c>
      <c r="J7" s="2"/>
    </row>
    <row r="8" spans="1:10" ht="91.5">
      <c r="A8" s="6" t="s">
        <v>72</v>
      </c>
      <c r="B8" s="6" t="s">
        <v>73</v>
      </c>
      <c r="C8" s="2" t="s">
        <v>74</v>
      </c>
      <c r="D8" s="2" t="s">
        <v>14</v>
      </c>
      <c r="E8" s="2" t="s">
        <v>19</v>
      </c>
      <c r="F8" s="2"/>
      <c r="G8" s="2">
        <v>208</v>
      </c>
      <c r="H8" s="2" t="str">
        <f>REPT("★", F8) &amp; REPT("☆", 5 - F8)</f>
        <v>☆☆☆☆☆</v>
      </c>
      <c r="I8" s="7">
        <v>44765</v>
      </c>
      <c r="J8" s="2"/>
    </row>
    <row r="9" spans="1:10" ht="106.5">
      <c r="A9" s="6" t="s">
        <v>75</v>
      </c>
      <c r="B9" s="6" t="s">
        <v>76</v>
      </c>
      <c r="C9" s="2" t="s">
        <v>77</v>
      </c>
      <c r="D9" s="2" t="s">
        <v>14</v>
      </c>
      <c r="E9" s="2" t="s">
        <v>19</v>
      </c>
      <c r="F9" s="2">
        <v>2</v>
      </c>
      <c r="G9" s="2">
        <v>152</v>
      </c>
      <c r="H9" s="2" t="str">
        <f>REPT("★", F9) &amp; REPT("☆", 5 - F9)</f>
        <v>★★☆☆☆</v>
      </c>
      <c r="I9" s="7">
        <v>44821</v>
      </c>
      <c r="J9" s="2"/>
    </row>
    <row r="10" spans="1:10" ht="45.75">
      <c r="A10" s="6" t="s">
        <v>78</v>
      </c>
      <c r="B10" s="6" t="s">
        <v>67</v>
      </c>
      <c r="C10" s="2" t="s">
        <v>36</v>
      </c>
      <c r="D10" s="2" t="s">
        <v>14</v>
      </c>
      <c r="E10" s="2" t="s">
        <v>19</v>
      </c>
      <c r="F10" s="2">
        <v>4.5</v>
      </c>
      <c r="G10" s="2">
        <v>229</v>
      </c>
      <c r="H10" s="2" t="str">
        <f>REPT("★", F10) &amp; REPT("☆", 5 - F10)</f>
        <v>★★★★</v>
      </c>
      <c r="I10" s="7">
        <v>44837</v>
      </c>
      <c r="J10" s="2"/>
    </row>
    <row r="11" spans="1:10" ht="30.75">
      <c r="A11" s="6" t="s">
        <v>79</v>
      </c>
      <c r="B11" s="6" t="s">
        <v>80</v>
      </c>
      <c r="C11" s="2" t="s">
        <v>36</v>
      </c>
      <c r="D11" s="2" t="s">
        <v>14</v>
      </c>
      <c r="E11" s="2" t="s">
        <v>19</v>
      </c>
      <c r="F11" s="2">
        <v>4.5</v>
      </c>
      <c r="G11" s="2">
        <v>224</v>
      </c>
      <c r="H11" s="2" t="str">
        <f>REPT("★", F11) &amp; REPT("☆", 5 - F11)</f>
        <v>★★★★</v>
      </c>
      <c r="I11" s="7">
        <v>44838</v>
      </c>
      <c r="J11" s="2"/>
    </row>
    <row r="12" spans="1:10" ht="60.75">
      <c r="A12" s="6" t="s">
        <v>81</v>
      </c>
      <c r="B12" s="6" t="s">
        <v>82</v>
      </c>
      <c r="C12" s="2" t="s">
        <v>83</v>
      </c>
      <c r="D12" s="2" t="s">
        <v>14</v>
      </c>
      <c r="E12" s="2" t="s">
        <v>15</v>
      </c>
      <c r="F12" s="2">
        <v>4.5</v>
      </c>
      <c r="G12" s="2">
        <v>867</v>
      </c>
      <c r="H12" s="2" t="str">
        <f>REPT("★", F12) &amp; REPT("☆", 5 - F12)</f>
        <v>★★★★</v>
      </c>
      <c r="I12" s="7">
        <v>44860</v>
      </c>
      <c r="J12" s="2"/>
    </row>
    <row r="13" spans="1:10" ht="60.75">
      <c r="A13" s="6" t="s">
        <v>84</v>
      </c>
      <c r="B13" s="6" t="s">
        <v>85</v>
      </c>
      <c r="C13" s="2" t="s">
        <v>36</v>
      </c>
      <c r="D13" s="2" t="s">
        <v>14</v>
      </c>
      <c r="E13" s="2" t="s">
        <v>15</v>
      </c>
      <c r="F13" s="2">
        <v>4.5</v>
      </c>
      <c r="G13" s="2">
        <v>220</v>
      </c>
      <c r="H13" s="2" t="str">
        <f>REPT("★", F13) &amp; REPT("☆", 5 - F13)</f>
        <v>★★★★</v>
      </c>
      <c r="I13" s="7">
        <v>44865</v>
      </c>
      <c r="J13" s="2"/>
    </row>
    <row r="14" spans="1:10" ht="76.5">
      <c r="A14" s="6" t="s">
        <v>86</v>
      </c>
      <c r="B14" s="6" t="s">
        <v>87</v>
      </c>
      <c r="C14" s="2" t="s">
        <v>83</v>
      </c>
      <c r="D14" s="2" t="s">
        <v>14</v>
      </c>
      <c r="E14" s="2" t="s">
        <v>15</v>
      </c>
      <c r="F14" s="2">
        <v>3.5</v>
      </c>
      <c r="G14" s="2">
        <v>170</v>
      </c>
      <c r="H14" s="2" t="str">
        <f>REPT("★", F14) &amp; REPT("☆", 5 - F14)</f>
        <v>★★★☆</v>
      </c>
      <c r="I14" s="7">
        <v>44866</v>
      </c>
      <c r="J14" s="2"/>
    </row>
    <row r="15" spans="1:10" ht="30.75">
      <c r="A15" s="6" t="s">
        <v>88</v>
      </c>
      <c r="B15" s="6" t="s">
        <v>89</v>
      </c>
      <c r="C15" s="2" t="s">
        <v>13</v>
      </c>
      <c r="D15" s="2" t="s">
        <v>14</v>
      </c>
      <c r="E15" s="2" t="s">
        <v>15</v>
      </c>
      <c r="F15" s="2">
        <v>5</v>
      </c>
      <c r="G15" s="2">
        <v>300</v>
      </c>
      <c r="H15" s="2" t="str">
        <f>REPT("★", F15) &amp; REPT("☆", 5 - F15)</f>
        <v>★★★★★</v>
      </c>
      <c r="I15" s="7">
        <v>44866</v>
      </c>
      <c r="J15" s="2" t="s">
        <v>90</v>
      </c>
    </row>
    <row r="16" spans="1:10" ht="45.75">
      <c r="A16" s="6" t="s">
        <v>91</v>
      </c>
      <c r="B16" s="6" t="s">
        <v>89</v>
      </c>
      <c r="C16" s="2" t="s">
        <v>83</v>
      </c>
      <c r="D16" s="2" t="s">
        <v>14</v>
      </c>
      <c r="E16" s="2" t="s">
        <v>15</v>
      </c>
      <c r="F16" s="2">
        <v>4</v>
      </c>
      <c r="G16" s="2">
        <v>150</v>
      </c>
      <c r="H16" s="2" t="str">
        <f>REPT("★", F16) &amp; REPT("☆", 5 - F16)</f>
        <v>★★★★☆</v>
      </c>
      <c r="I16" s="7">
        <v>44866</v>
      </c>
      <c r="J16" s="2"/>
    </row>
    <row r="17" spans="1:10" ht="106.5">
      <c r="A17" s="6" t="s">
        <v>92</v>
      </c>
      <c r="B17" s="6" t="s">
        <v>93</v>
      </c>
      <c r="C17" s="2" t="s">
        <v>83</v>
      </c>
      <c r="D17" s="2" t="s">
        <v>14</v>
      </c>
      <c r="E17" s="2" t="s">
        <v>15</v>
      </c>
      <c r="F17" s="2">
        <v>5</v>
      </c>
      <c r="G17" s="2">
        <v>600</v>
      </c>
      <c r="H17" s="2" t="str">
        <f>REPT("★", F17) &amp; REPT("☆", 5 - F17)</f>
        <v>★★★★★</v>
      </c>
      <c r="I17" s="7">
        <v>44875</v>
      </c>
      <c r="J17" s="2"/>
    </row>
    <row r="18" spans="1:10" ht="76.5">
      <c r="A18" s="6" t="s">
        <v>94</v>
      </c>
      <c r="B18" s="6" t="s">
        <v>95</v>
      </c>
      <c r="C18" s="2" t="s">
        <v>83</v>
      </c>
      <c r="D18" s="2" t="s">
        <v>14</v>
      </c>
      <c r="E18" s="2" t="s">
        <v>15</v>
      </c>
      <c r="F18" s="2">
        <v>4</v>
      </c>
      <c r="G18" s="2">
        <v>1026</v>
      </c>
      <c r="H18" s="2" t="str">
        <f>REPT("★", F18) &amp; REPT("☆", 5 - F18)</f>
        <v>★★★★☆</v>
      </c>
      <c r="I18" s="7">
        <v>44880</v>
      </c>
      <c r="J18" s="2"/>
    </row>
    <row r="19" spans="1:10" ht="45.75">
      <c r="A19" s="6" t="s">
        <v>96</v>
      </c>
      <c r="B19" s="6" t="s">
        <v>97</v>
      </c>
      <c r="C19" s="2" t="s">
        <v>83</v>
      </c>
      <c r="D19" s="2" t="s">
        <v>14</v>
      </c>
      <c r="E19" s="2" t="s">
        <v>15</v>
      </c>
      <c r="F19" s="2">
        <v>3</v>
      </c>
      <c r="G19" s="2">
        <v>400</v>
      </c>
      <c r="H19" s="2" t="str">
        <f>REPT("★", F19) &amp; REPT("☆", 5 - F19)</f>
        <v>★★★☆☆</v>
      </c>
      <c r="I19" s="7">
        <v>44886</v>
      </c>
      <c r="J19" s="2"/>
    </row>
    <row r="20" spans="1:10" ht="45.75">
      <c r="A20" s="6" t="s">
        <v>98</v>
      </c>
      <c r="B20" s="6" t="s">
        <v>99</v>
      </c>
      <c r="C20" s="2" t="s">
        <v>36</v>
      </c>
      <c r="D20" s="2" t="s">
        <v>14</v>
      </c>
      <c r="E20" s="2" t="s">
        <v>15</v>
      </c>
      <c r="F20" s="2">
        <v>5</v>
      </c>
      <c r="G20" s="2">
        <v>500</v>
      </c>
      <c r="H20" s="2" t="str">
        <f>REPT("★", F20) &amp; REPT("☆", 5 - F20)</f>
        <v>★★★★★</v>
      </c>
      <c r="I20" s="7">
        <v>44900</v>
      </c>
      <c r="J20" s="2"/>
    </row>
    <row r="21" spans="1:10" ht="91.5">
      <c r="A21" s="6" t="s">
        <v>100</v>
      </c>
      <c r="B21" s="6" t="s">
        <v>101</v>
      </c>
      <c r="C21" s="2" t="s">
        <v>18</v>
      </c>
      <c r="D21" s="2" t="s">
        <v>14</v>
      </c>
      <c r="E21" s="2" t="s">
        <v>19</v>
      </c>
      <c r="F21" s="2">
        <v>4.5</v>
      </c>
      <c r="G21" s="2">
        <v>190</v>
      </c>
      <c r="H21" s="2" t="str">
        <f>REPT("★", F21) &amp; REPT("☆", 5 - F21)</f>
        <v>★★★★</v>
      </c>
      <c r="I21" s="7">
        <v>44906</v>
      </c>
      <c r="J21" s="2"/>
    </row>
  </sheetData>
  <mergeCells count="1">
    <mergeCell ref="A1:J1"/>
  </mergeCells>
  <conditionalFormatting sqref="D1:D4">
    <cfRule type="containsText" dxfId="51" priority="5" operator="containsText" text="WANT TO READ">
      <formula>NOT(ISERROR(SEARCH("WANT TO READ",D1)))</formula>
    </cfRule>
    <cfRule type="containsText" dxfId="50" priority="6" operator="containsText" text="ABANDONED">
      <formula>NOT(ISERROR(SEARCH("ABANDONED",D1)))</formula>
    </cfRule>
    <cfRule type="containsText" dxfId="49" priority="7" operator="containsText" text="READING">
      <formula>NOT(ISERROR(SEARCH("READING",D1)))</formula>
    </cfRule>
    <cfRule type="containsText" dxfId="48" priority="8" operator="containsText" text="FINISHED">
      <formula>NOT(ISERROR(SEARCH("FINISHED",D1)))</formula>
    </cfRule>
  </conditionalFormatting>
  <conditionalFormatting sqref="D5:D21">
    <cfRule type="containsText" dxfId="47" priority="1" operator="containsText" text="WANT TO READ">
      <formula>NOT(ISERROR(SEARCH("WANT TO READ",D5)))</formula>
    </cfRule>
    <cfRule type="containsText" dxfId="46" priority="2" operator="containsText" text="ABANDONED">
      <formula>NOT(ISERROR(SEARCH("ABANDONED",D5)))</formula>
    </cfRule>
    <cfRule type="containsText" dxfId="45" priority="3" operator="containsText" text="READING">
      <formula>NOT(ISERROR(SEARCH("READING",D5)))</formula>
    </cfRule>
    <cfRule type="containsText" dxfId="44" priority="4" operator="containsText" text="FINISHED">
      <formula>NOT(ISERROR(SEARCH("FINISHED",D5)))</formula>
    </cfRule>
  </conditionalFormatting>
  <dataValidations count="2">
    <dataValidation type="list" allowBlank="1" showInputMessage="1" showErrorMessage="1" sqref="D5:D21" xr:uid="{8FBBF861-A42C-4444-BD68-9E370526E5BA}">
      <formula1>"Reading, Finished, Want to Read, Abandoned"</formula1>
    </dataValidation>
    <dataValidation type="list" allowBlank="1" showInputMessage="1" showErrorMessage="1" sqref="E5:E21" xr:uid="{C41A97AD-5C91-4049-9804-B7DEC707CC4B}">
      <formula1>"Physical, Ebook, Audiobook"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4BEB-7F30-4D35-AAF6-BF9FB370E644}">
  <dimension ref="A1:J31"/>
  <sheetViews>
    <sheetView topLeftCell="A30" workbookViewId="0">
      <selection activeCell="F10" sqref="F10"/>
    </sheetView>
  </sheetViews>
  <sheetFormatPr defaultRowHeight="15"/>
  <cols>
    <col min="1" max="1" width="28.28515625" customWidth="1"/>
    <col min="2" max="2" width="21" customWidth="1"/>
    <col min="3" max="4" width="14" customWidth="1"/>
    <col min="5" max="5" width="13.7109375" customWidth="1"/>
    <col min="6" max="6" width="18" customWidth="1"/>
    <col min="7" max="7" width="13.85546875" customWidth="1"/>
    <col min="8" max="8" width="17" customWidth="1"/>
    <col min="9" max="9" width="20" customWidth="1"/>
    <col min="10" max="10" width="34" customWidth="1"/>
  </cols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27</v>
      </c>
      <c r="B3" s="2"/>
      <c r="C3" s="2"/>
      <c r="D3" s="2">
        <f>COUNTIF(D5:D200, "Finished")</f>
        <v>27</v>
      </c>
      <c r="E3" s="2"/>
      <c r="F3" s="2">
        <f>AVERAGE(F5:F200)</f>
        <v>3.5576923076923075</v>
      </c>
      <c r="G3" s="2">
        <f>SUM(G5:G100)</f>
        <v>7575</v>
      </c>
      <c r="H3" s="2">
        <f>COUNTIF(F5:H200, 5)</f>
        <v>3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 ht="30.75">
      <c r="A5" s="6" t="s">
        <v>102</v>
      </c>
      <c r="B5" s="6" t="s">
        <v>35</v>
      </c>
      <c r="C5" s="2" t="s">
        <v>63</v>
      </c>
      <c r="D5" s="2" t="s">
        <v>14</v>
      </c>
      <c r="E5" s="2" t="s">
        <v>19</v>
      </c>
      <c r="F5" s="2">
        <v>2.5</v>
      </c>
      <c r="G5" s="2">
        <v>464</v>
      </c>
      <c r="H5" s="2" t="str">
        <f>REPT("★", F5) &amp; REPT("☆", 5 - F5)</f>
        <v>★★☆☆</v>
      </c>
      <c r="I5" s="7">
        <v>44946</v>
      </c>
      <c r="J5" s="2"/>
    </row>
    <row r="6" spans="1:10">
      <c r="A6" s="6" t="s">
        <v>103</v>
      </c>
      <c r="B6" s="6"/>
      <c r="C6" s="2"/>
      <c r="D6" s="2" t="s">
        <v>14</v>
      </c>
      <c r="E6" s="2" t="s">
        <v>15</v>
      </c>
      <c r="F6" s="2">
        <v>5</v>
      </c>
      <c r="G6" s="2"/>
      <c r="H6" s="2" t="str">
        <f>REPT("★", F6) &amp; REPT("☆", 5 - F6)</f>
        <v>★★★★★</v>
      </c>
      <c r="I6" s="7">
        <v>44970</v>
      </c>
      <c r="J6" s="2"/>
    </row>
    <row r="7" spans="1:10" ht="30.75">
      <c r="A7" s="6" t="s">
        <v>104</v>
      </c>
      <c r="B7" s="6" t="s">
        <v>38</v>
      </c>
      <c r="C7" s="2" t="s">
        <v>36</v>
      </c>
      <c r="D7" s="2" t="s">
        <v>14</v>
      </c>
      <c r="E7" s="2" t="s">
        <v>19</v>
      </c>
      <c r="F7" s="2">
        <v>3.5</v>
      </c>
      <c r="G7" s="2">
        <v>235</v>
      </c>
      <c r="H7" s="2" t="str">
        <f>REPT("★", F7) &amp; REPT("☆", 5 - F7)</f>
        <v>★★★☆</v>
      </c>
      <c r="I7" s="7">
        <v>44974</v>
      </c>
      <c r="J7" s="2"/>
    </row>
    <row r="8" spans="1:10" ht="45.75">
      <c r="A8" s="6" t="s">
        <v>105</v>
      </c>
      <c r="B8" s="6" t="s">
        <v>106</v>
      </c>
      <c r="C8" s="2" t="s">
        <v>42</v>
      </c>
      <c r="D8" s="2" t="s">
        <v>14</v>
      </c>
      <c r="E8" s="2" t="s">
        <v>15</v>
      </c>
      <c r="F8" s="2">
        <v>3.5</v>
      </c>
      <c r="G8" s="2">
        <v>272</v>
      </c>
      <c r="H8" s="2" t="str">
        <f>REPT("★", F8) &amp; REPT("☆", 5 - F8)</f>
        <v>★★★☆</v>
      </c>
      <c r="I8" s="7">
        <v>44982</v>
      </c>
      <c r="J8" s="2"/>
    </row>
    <row r="9" spans="1:10" ht="45.75">
      <c r="A9" s="6" t="s">
        <v>107</v>
      </c>
      <c r="B9" s="6" t="s">
        <v>108</v>
      </c>
      <c r="C9" s="2" t="s">
        <v>18</v>
      </c>
      <c r="D9" s="2" t="s">
        <v>14</v>
      </c>
      <c r="E9" s="2" t="s">
        <v>19</v>
      </c>
      <c r="F9" s="2">
        <v>4.5</v>
      </c>
      <c r="G9" s="2">
        <v>208</v>
      </c>
      <c r="H9" s="2" t="str">
        <f>REPT("★", F9) &amp; REPT("☆", 5 - F9)</f>
        <v>★★★★</v>
      </c>
      <c r="I9" s="7">
        <v>45021</v>
      </c>
      <c r="J9" s="2"/>
    </row>
    <row r="10" spans="1:10" ht="60.75">
      <c r="A10" s="6" t="s">
        <v>109</v>
      </c>
      <c r="B10" s="6" t="s">
        <v>110</v>
      </c>
      <c r="C10" s="2" t="s">
        <v>83</v>
      </c>
      <c r="D10" s="2" t="s">
        <v>14</v>
      </c>
      <c r="E10" s="2" t="s">
        <v>15</v>
      </c>
      <c r="F10" s="2">
        <v>3.5</v>
      </c>
      <c r="G10" s="2">
        <v>250</v>
      </c>
      <c r="H10" s="2" t="str">
        <f>REPT("★", F10) &amp; REPT("☆", 5 - F10)</f>
        <v>★★★☆</v>
      </c>
      <c r="I10" s="7">
        <v>45033</v>
      </c>
      <c r="J10" s="2"/>
    </row>
    <row r="11" spans="1:10" ht="45.75">
      <c r="A11" s="6" t="s">
        <v>111</v>
      </c>
      <c r="B11" s="6"/>
      <c r="C11" s="2"/>
      <c r="D11" s="2" t="s">
        <v>14</v>
      </c>
      <c r="E11" s="2" t="s">
        <v>15</v>
      </c>
      <c r="F11" s="2">
        <v>2.5</v>
      </c>
      <c r="G11" s="2"/>
      <c r="H11" s="2" t="str">
        <f>REPT("★", F11) &amp; REPT("☆", 5 - F11)</f>
        <v>★★☆☆</v>
      </c>
      <c r="I11" s="7">
        <v>45039</v>
      </c>
      <c r="J11" s="2"/>
    </row>
    <row r="12" spans="1:10" ht="30.75">
      <c r="A12" s="6" t="s">
        <v>112</v>
      </c>
      <c r="B12" s="6"/>
      <c r="C12" s="2"/>
      <c r="D12" s="2" t="s">
        <v>14</v>
      </c>
      <c r="E12" s="2" t="s">
        <v>15</v>
      </c>
      <c r="F12" s="2">
        <v>4.5</v>
      </c>
      <c r="G12" s="2"/>
      <c r="H12" s="2" t="str">
        <f>REPT("★", F12) &amp; REPT("☆", 5 - F12)</f>
        <v>★★★★</v>
      </c>
      <c r="I12" s="7">
        <v>45040</v>
      </c>
      <c r="J12" s="2"/>
    </row>
    <row r="13" spans="1:10" ht="60.75">
      <c r="A13" s="6" t="s">
        <v>113</v>
      </c>
      <c r="B13" s="6"/>
      <c r="C13" s="2"/>
      <c r="D13" s="2" t="s">
        <v>14</v>
      </c>
      <c r="E13" s="2" t="s">
        <v>15</v>
      </c>
      <c r="F13" s="2">
        <v>3</v>
      </c>
      <c r="G13" s="2"/>
      <c r="H13" s="2" t="str">
        <f>REPT("★", F13) &amp; REPT("☆", 5 - F13)</f>
        <v>★★★☆☆</v>
      </c>
      <c r="I13" s="7">
        <v>45045</v>
      </c>
      <c r="J13" s="2"/>
    </row>
    <row r="14" spans="1:10" ht="30.75">
      <c r="A14" s="6" t="s">
        <v>114</v>
      </c>
      <c r="B14" s="6"/>
      <c r="C14" s="2"/>
      <c r="D14" s="2" t="s">
        <v>14</v>
      </c>
      <c r="E14" s="2" t="s">
        <v>15</v>
      </c>
      <c r="F14" s="2">
        <v>2.5</v>
      </c>
      <c r="G14" s="2"/>
      <c r="H14" s="2" t="str">
        <f>REPT("★", F14) &amp; REPT("☆", 5 - F14)</f>
        <v>★★☆☆</v>
      </c>
      <c r="I14" s="7">
        <v>45053</v>
      </c>
      <c r="J14" s="2"/>
    </row>
    <row r="15" spans="1:10" ht="76.5">
      <c r="A15" s="6" t="s">
        <v>115</v>
      </c>
      <c r="B15" s="6"/>
      <c r="C15" s="2"/>
      <c r="D15" s="2" t="s">
        <v>14</v>
      </c>
      <c r="E15" s="2" t="s">
        <v>15</v>
      </c>
      <c r="F15" s="2">
        <v>3.5</v>
      </c>
      <c r="G15" s="2"/>
      <c r="H15" s="2" t="str">
        <f>REPT("★", F15) &amp; REPT("☆", 5 - F15)</f>
        <v>★★★☆</v>
      </c>
      <c r="I15" s="7">
        <v>45055</v>
      </c>
      <c r="J15" s="2"/>
    </row>
    <row r="16" spans="1:10" ht="91.5">
      <c r="A16" s="6" t="s">
        <v>116</v>
      </c>
      <c r="B16" s="6"/>
      <c r="C16" s="2"/>
      <c r="D16" s="2" t="s">
        <v>14</v>
      </c>
      <c r="E16" s="2" t="s">
        <v>15</v>
      </c>
      <c r="F16" s="2">
        <v>2.5</v>
      </c>
      <c r="G16" s="2"/>
      <c r="H16" s="2" t="str">
        <f>REPT("★", F16) &amp; REPT("☆", 5 - F16)</f>
        <v>★★☆☆</v>
      </c>
      <c r="I16" s="7">
        <v>45056</v>
      </c>
      <c r="J16" s="2"/>
    </row>
    <row r="17" spans="1:10" ht="30.75">
      <c r="A17" s="6" t="s">
        <v>117</v>
      </c>
      <c r="B17" s="6" t="s">
        <v>97</v>
      </c>
      <c r="C17" s="2" t="s">
        <v>83</v>
      </c>
      <c r="D17" s="2" t="s">
        <v>14</v>
      </c>
      <c r="E17" s="2" t="s">
        <v>15</v>
      </c>
      <c r="F17" s="2">
        <v>3.5</v>
      </c>
      <c r="G17" s="2">
        <v>2500</v>
      </c>
      <c r="H17" s="2" t="str">
        <f>REPT("★", F17) &amp; REPT("☆", 5 - F17)</f>
        <v>★★★☆</v>
      </c>
      <c r="I17" s="7">
        <v>45057</v>
      </c>
      <c r="J17" s="2"/>
    </row>
    <row r="18" spans="1:10" ht="30.75">
      <c r="A18" s="6" t="s">
        <v>118</v>
      </c>
      <c r="B18" s="6"/>
      <c r="C18" s="2"/>
      <c r="D18" s="2" t="s">
        <v>14</v>
      </c>
      <c r="E18" s="2" t="s">
        <v>15</v>
      </c>
      <c r="F18" s="2">
        <v>4.5</v>
      </c>
      <c r="G18" s="2"/>
      <c r="H18" s="2" t="str">
        <f>REPT("★", F18) &amp; REPT("☆", 5 - F18)</f>
        <v>★★★★</v>
      </c>
      <c r="I18" s="7">
        <v>45059</v>
      </c>
      <c r="J18" s="2"/>
    </row>
    <row r="19" spans="1:10" ht="45.75">
      <c r="A19" s="6" t="s">
        <v>119</v>
      </c>
      <c r="B19" s="6"/>
      <c r="C19" s="2"/>
      <c r="D19" s="2" t="s">
        <v>14</v>
      </c>
      <c r="E19" s="2" t="s">
        <v>15</v>
      </c>
      <c r="F19" s="2">
        <v>3</v>
      </c>
      <c r="G19" s="2"/>
      <c r="H19" s="2" t="str">
        <f>REPT("★", F19) &amp; REPT("☆", 5 - F19)</f>
        <v>★★★☆☆</v>
      </c>
      <c r="I19" s="7">
        <v>45060</v>
      </c>
      <c r="J19" s="2"/>
    </row>
    <row r="20" spans="1:10" ht="60.75">
      <c r="A20" s="6" t="s">
        <v>120</v>
      </c>
      <c r="B20" s="6"/>
      <c r="C20" s="2"/>
      <c r="D20" s="2" t="s">
        <v>14</v>
      </c>
      <c r="E20" s="2" t="s">
        <v>15</v>
      </c>
      <c r="F20" s="2">
        <v>3</v>
      </c>
      <c r="G20" s="2"/>
      <c r="H20" s="2" t="str">
        <f>REPT("★", F20) &amp; REPT("☆", 5 - F20)</f>
        <v>★★★☆☆</v>
      </c>
      <c r="I20" s="7">
        <v>45061</v>
      </c>
      <c r="J20" s="2"/>
    </row>
    <row r="21" spans="1:10" ht="76.5">
      <c r="A21" s="6" t="s">
        <v>121</v>
      </c>
      <c r="B21" s="6" t="s">
        <v>122</v>
      </c>
      <c r="C21" s="2" t="s">
        <v>36</v>
      </c>
      <c r="D21" s="2" t="s">
        <v>14</v>
      </c>
      <c r="E21" s="2" t="s">
        <v>19</v>
      </c>
      <c r="F21" s="2">
        <v>5</v>
      </c>
      <c r="G21" s="2">
        <v>320</v>
      </c>
      <c r="H21" s="2" t="str">
        <f>REPT("★", F21) &amp; REPT("☆", 5 - F21)</f>
        <v>★★★★★</v>
      </c>
      <c r="I21" s="7">
        <v>45080</v>
      </c>
      <c r="J21" s="2" t="s">
        <v>123</v>
      </c>
    </row>
    <row r="22" spans="1:10" ht="30.75">
      <c r="A22" s="6" t="s">
        <v>124</v>
      </c>
      <c r="B22" s="6" t="s">
        <v>125</v>
      </c>
      <c r="C22" s="2"/>
      <c r="D22" s="2" t="s">
        <v>14</v>
      </c>
      <c r="E22" s="2" t="s">
        <v>19</v>
      </c>
      <c r="F22" s="2">
        <v>3</v>
      </c>
      <c r="G22" s="2">
        <v>144</v>
      </c>
      <c r="H22" s="2" t="str">
        <f>REPT("★", F22) &amp; REPT("☆", 5 - F22)</f>
        <v>★★★☆☆</v>
      </c>
      <c r="I22" s="7">
        <v>45091</v>
      </c>
      <c r="J22" s="2" t="s">
        <v>126</v>
      </c>
    </row>
    <row r="23" spans="1:10" ht="30.75">
      <c r="A23" s="6" t="s">
        <v>127</v>
      </c>
      <c r="B23" s="6" t="s">
        <v>128</v>
      </c>
      <c r="C23" s="2" t="s">
        <v>18</v>
      </c>
      <c r="D23" s="2" t="s">
        <v>14</v>
      </c>
      <c r="E23" s="2" t="s">
        <v>19</v>
      </c>
      <c r="F23" s="2">
        <v>4.5</v>
      </c>
      <c r="G23" s="2">
        <v>224</v>
      </c>
      <c r="H23" s="2" t="str">
        <f>REPT("★", F23) &amp; REPT("☆", 5 - F23)</f>
        <v>★★★★</v>
      </c>
      <c r="I23" s="7">
        <v>45093</v>
      </c>
      <c r="J23" s="2" t="s">
        <v>129</v>
      </c>
    </row>
    <row r="24" spans="1:10" ht="30.75">
      <c r="A24" s="6" t="s">
        <v>130</v>
      </c>
      <c r="B24" s="6"/>
      <c r="C24" s="2"/>
      <c r="D24" s="2" t="s">
        <v>14</v>
      </c>
      <c r="E24" s="2" t="s">
        <v>15</v>
      </c>
      <c r="F24" s="2">
        <v>5</v>
      </c>
      <c r="G24" s="2"/>
      <c r="H24" s="2" t="str">
        <f>REPT("★", F24) &amp; REPT("☆", 5 - F24)</f>
        <v>★★★★★</v>
      </c>
      <c r="I24" s="7">
        <v>45153</v>
      </c>
      <c r="J24" s="2"/>
    </row>
    <row r="25" spans="1:10" ht="45.75">
      <c r="A25" s="6" t="s">
        <v>131</v>
      </c>
      <c r="B25" s="6"/>
      <c r="C25" s="2"/>
      <c r="D25" s="2" t="s">
        <v>14</v>
      </c>
      <c r="E25" s="2" t="s">
        <v>15</v>
      </c>
      <c r="F25" s="2"/>
      <c r="G25" s="2"/>
      <c r="H25" s="2" t="str">
        <f>REPT("★", F25) &amp; REPT("☆", 5 - F25)</f>
        <v>☆☆☆☆☆</v>
      </c>
      <c r="I25" s="7">
        <v>45161</v>
      </c>
      <c r="J25" s="2"/>
    </row>
    <row r="26" spans="1:10" ht="45.75">
      <c r="A26" s="6" t="s">
        <v>132</v>
      </c>
      <c r="B26" s="6" t="s">
        <v>133</v>
      </c>
      <c r="C26" s="2" t="s">
        <v>29</v>
      </c>
      <c r="D26" s="2" t="s">
        <v>14</v>
      </c>
      <c r="E26" s="2" t="s">
        <v>15</v>
      </c>
      <c r="F26" s="2">
        <v>3</v>
      </c>
      <c r="G26" s="2">
        <v>1150</v>
      </c>
      <c r="H26" s="2" t="str">
        <f>REPT("★", F26) &amp; REPT("☆", 5 - F26)</f>
        <v>★★★☆☆</v>
      </c>
      <c r="I26" s="7">
        <v>45208</v>
      </c>
      <c r="J26" s="2"/>
    </row>
    <row r="27" spans="1:10" ht="60.75">
      <c r="A27" s="6" t="s">
        <v>134</v>
      </c>
      <c r="B27" s="6"/>
      <c r="C27" s="2"/>
      <c r="D27" s="2" t="s">
        <v>14</v>
      </c>
      <c r="E27" s="2" t="s">
        <v>15</v>
      </c>
      <c r="F27" s="2">
        <v>2.5</v>
      </c>
      <c r="G27" s="2"/>
      <c r="H27" s="2" t="str">
        <f>REPT("★", F27) &amp; REPT("☆", 5 - F27)</f>
        <v>★★☆☆</v>
      </c>
      <c r="I27" s="7">
        <v>45211</v>
      </c>
      <c r="J27" s="2"/>
    </row>
    <row r="28" spans="1:10" ht="30.75">
      <c r="A28" s="6" t="s">
        <v>135</v>
      </c>
      <c r="B28" s="6"/>
      <c r="C28" s="2"/>
      <c r="D28" s="2" t="s">
        <v>14</v>
      </c>
      <c r="E28" s="2" t="s">
        <v>15</v>
      </c>
      <c r="F28" s="2">
        <v>3.5</v>
      </c>
      <c r="G28" s="2"/>
      <c r="H28" s="2" t="str">
        <f>REPT("★", F28) &amp; REPT("☆", 5 - F28)</f>
        <v>★★★☆</v>
      </c>
      <c r="I28" s="7">
        <v>45211</v>
      </c>
      <c r="J28" s="2"/>
    </row>
    <row r="29" spans="1:10" ht="106.5">
      <c r="A29" s="6" t="s">
        <v>136</v>
      </c>
      <c r="B29" s="6" t="s">
        <v>73</v>
      </c>
      <c r="C29" s="2" t="s">
        <v>74</v>
      </c>
      <c r="D29" s="2" t="s">
        <v>14</v>
      </c>
      <c r="E29" s="2" t="s">
        <v>19</v>
      </c>
      <c r="F29" s="2">
        <v>3</v>
      </c>
      <c r="G29" s="2">
        <v>208</v>
      </c>
      <c r="H29" s="2" t="str">
        <f>REPT("★", F29) &amp; REPT("☆", 5 - F29)</f>
        <v>★★★☆☆</v>
      </c>
      <c r="I29" s="7">
        <v>45219</v>
      </c>
      <c r="J29" s="2" t="s">
        <v>137</v>
      </c>
    </row>
    <row r="30" spans="1:10" ht="76.5">
      <c r="A30" s="6" t="s">
        <v>138</v>
      </c>
      <c r="B30" s="6"/>
      <c r="C30" s="2"/>
      <c r="D30" s="2" t="s">
        <v>14</v>
      </c>
      <c r="E30" s="2" t="s">
        <v>15</v>
      </c>
      <c r="F30" s="2">
        <v>4</v>
      </c>
      <c r="G30" s="2"/>
      <c r="H30" s="2" t="str">
        <f>REPT("★", F30) &amp; REPT("☆", 5 - F30)</f>
        <v>★★★★☆</v>
      </c>
      <c r="I30" s="7">
        <v>45251</v>
      </c>
      <c r="J30" s="2"/>
    </row>
    <row r="31" spans="1:10" ht="45.75">
      <c r="A31" s="6" t="s">
        <v>139</v>
      </c>
      <c r="B31" s="6" t="s">
        <v>140</v>
      </c>
      <c r="C31" s="2" t="s">
        <v>83</v>
      </c>
      <c r="D31" s="2" t="s">
        <v>14</v>
      </c>
      <c r="E31" s="2" t="s">
        <v>15</v>
      </c>
      <c r="F31" s="2">
        <v>4</v>
      </c>
      <c r="G31" s="2">
        <v>1600</v>
      </c>
      <c r="H31" s="2" t="str">
        <f>REPT("★", F31) &amp; REPT("☆", 5 - F31)</f>
        <v>★★★★☆</v>
      </c>
      <c r="I31" s="7">
        <v>45276</v>
      </c>
      <c r="J31" s="2"/>
    </row>
  </sheetData>
  <mergeCells count="1">
    <mergeCell ref="A1:J1"/>
  </mergeCells>
  <conditionalFormatting sqref="D1:D4">
    <cfRule type="containsText" dxfId="43" priority="5" operator="containsText" text="WANT TO READ">
      <formula>NOT(ISERROR(SEARCH("WANT TO READ",D1)))</formula>
    </cfRule>
    <cfRule type="containsText" dxfId="42" priority="6" operator="containsText" text="ABANDONED">
      <formula>NOT(ISERROR(SEARCH("ABANDONED",D1)))</formula>
    </cfRule>
    <cfRule type="containsText" dxfId="41" priority="7" operator="containsText" text="READING">
      <formula>NOT(ISERROR(SEARCH("READING",D1)))</formula>
    </cfRule>
    <cfRule type="containsText" dxfId="40" priority="8" operator="containsText" text="FINISHED">
      <formula>NOT(ISERROR(SEARCH("FINISHED",D1)))</formula>
    </cfRule>
  </conditionalFormatting>
  <conditionalFormatting sqref="D5:D31">
    <cfRule type="containsText" dxfId="39" priority="1" operator="containsText" text="WANT TO READ">
      <formula>NOT(ISERROR(SEARCH("WANT TO READ",D5)))</formula>
    </cfRule>
    <cfRule type="containsText" dxfId="38" priority="2" operator="containsText" text="ABANDONED">
      <formula>NOT(ISERROR(SEARCH("ABANDONED",D5)))</formula>
    </cfRule>
    <cfRule type="containsText" dxfId="37" priority="3" operator="containsText" text="READING">
      <formula>NOT(ISERROR(SEARCH("READING",D5)))</formula>
    </cfRule>
    <cfRule type="containsText" dxfId="36" priority="4" operator="containsText" text="FINISHED">
      <formula>NOT(ISERROR(SEARCH("FINISHED",D5)))</formula>
    </cfRule>
  </conditionalFormatting>
  <dataValidations count="2">
    <dataValidation type="list" allowBlank="1" showInputMessage="1" showErrorMessage="1" sqref="E5:E31" xr:uid="{F939CDE5-5A4A-41BF-9BFB-ED1AE69292FB}">
      <formula1>"Physical, Ebook, Audiobook"</formula1>
    </dataValidation>
    <dataValidation type="list" allowBlank="1" showInputMessage="1" showErrorMessage="1" sqref="D5:D31" xr:uid="{A0F010BC-85A9-4BFF-90E6-E24737123675}">
      <formula1>"Reading, Finished, Want to Read, Abandoned"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6B32-02DE-4FFF-9BBD-98D6336308A3}">
  <dimension ref="A1:J82"/>
  <sheetViews>
    <sheetView workbookViewId="0">
      <selection activeCell="E87" sqref="E87"/>
    </sheetView>
  </sheetViews>
  <sheetFormatPr defaultRowHeight="15"/>
  <cols>
    <col min="1" max="1" width="31.28515625" customWidth="1"/>
    <col min="2" max="2" width="18.42578125" customWidth="1"/>
    <col min="3" max="3" width="15.140625" customWidth="1"/>
    <col min="4" max="4" width="14.140625" customWidth="1"/>
    <col min="5" max="5" width="14" customWidth="1"/>
    <col min="6" max="6" width="18.28515625" customWidth="1"/>
    <col min="7" max="7" width="14.140625" customWidth="1"/>
    <col min="8" max="8" width="17.85546875" customWidth="1"/>
    <col min="9" max="9" width="19.28515625" customWidth="1"/>
    <col min="10" max="10" width="30.5703125" customWidth="1"/>
  </cols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78</v>
      </c>
      <c r="B3" s="2"/>
      <c r="C3" s="2"/>
      <c r="D3" s="2">
        <f>COUNTIF(D5:D200, "Finished")</f>
        <v>78</v>
      </c>
      <c r="E3" s="2"/>
      <c r="F3" s="2">
        <f>AVERAGE(F5:F200)</f>
        <v>4.0452380952380951</v>
      </c>
      <c r="G3" s="2">
        <f>SUM(G5:G100)</f>
        <v>1281</v>
      </c>
      <c r="H3" s="2">
        <f>COUNTIF(F5:H200, 5)</f>
        <v>11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 ht="30.75">
      <c r="A5" s="6" t="s">
        <v>141</v>
      </c>
      <c r="B5" s="6"/>
      <c r="C5" s="2"/>
      <c r="D5" s="2" t="s">
        <v>14</v>
      </c>
      <c r="E5" s="2" t="s">
        <v>15</v>
      </c>
      <c r="F5" s="2">
        <v>4</v>
      </c>
      <c r="G5" s="2"/>
      <c r="H5" s="2" t="str">
        <f>REPT("★", F5) &amp; REPT("☆", 5 - F5)</f>
        <v>★★★★☆</v>
      </c>
      <c r="I5" s="7">
        <v>45300</v>
      </c>
      <c r="J5" s="2"/>
    </row>
    <row r="6" spans="1:10" ht="30.75">
      <c r="A6" s="6" t="s">
        <v>142</v>
      </c>
      <c r="B6" s="6" t="s">
        <v>65</v>
      </c>
      <c r="C6" s="2" t="s">
        <v>36</v>
      </c>
      <c r="D6" s="2" t="s">
        <v>14</v>
      </c>
      <c r="E6" s="2" t="s">
        <v>19</v>
      </c>
      <c r="F6" s="2">
        <v>2</v>
      </c>
      <c r="G6" s="2">
        <v>462</v>
      </c>
      <c r="H6" s="2" t="str">
        <f>REPT("★", F6) &amp; REPT("☆", 5 - F6)</f>
        <v>★★☆☆☆</v>
      </c>
      <c r="I6" s="7">
        <v>45321</v>
      </c>
      <c r="J6" s="2" t="s">
        <v>143</v>
      </c>
    </row>
    <row r="7" spans="1:10" ht="30.75">
      <c r="A7" s="6" t="s">
        <v>144</v>
      </c>
      <c r="B7" s="6"/>
      <c r="C7" s="2"/>
      <c r="D7" s="2" t="s">
        <v>14</v>
      </c>
      <c r="E7" s="2" t="s">
        <v>15</v>
      </c>
      <c r="F7" s="2"/>
      <c r="G7" s="2"/>
      <c r="H7" s="2" t="str">
        <f>REPT("★", F7) &amp; REPT("☆", 5 - F7)</f>
        <v>☆☆☆☆☆</v>
      </c>
      <c r="I7" s="7">
        <v>45412</v>
      </c>
      <c r="J7" s="2"/>
    </row>
    <row r="8" spans="1:10" ht="30.75">
      <c r="A8" s="6" t="s">
        <v>145</v>
      </c>
      <c r="B8" s="6"/>
      <c r="C8" s="2"/>
      <c r="D8" s="2" t="s">
        <v>14</v>
      </c>
      <c r="E8" s="2" t="s">
        <v>15</v>
      </c>
      <c r="F8" s="2">
        <v>5</v>
      </c>
      <c r="G8" s="2"/>
      <c r="H8" s="2" t="str">
        <f>REPT("★", F8) &amp; REPT("☆", 5 - F8)</f>
        <v>★★★★★</v>
      </c>
      <c r="I8" s="7">
        <v>45460</v>
      </c>
      <c r="J8" s="2"/>
    </row>
    <row r="9" spans="1:10" ht="60.75">
      <c r="A9" s="6" t="s">
        <v>146</v>
      </c>
      <c r="B9" s="6"/>
      <c r="C9" s="2"/>
      <c r="D9" s="2" t="s">
        <v>14</v>
      </c>
      <c r="E9" s="2" t="s">
        <v>15</v>
      </c>
      <c r="F9" s="2">
        <v>4.5</v>
      </c>
      <c r="G9" s="2"/>
      <c r="H9" s="2" t="str">
        <f>REPT("★", F9) &amp; REPT("☆", 5 - F9)</f>
        <v>★★★★</v>
      </c>
      <c r="I9" s="7">
        <v>45466</v>
      </c>
      <c r="J9" s="2"/>
    </row>
    <row r="10" spans="1:10" ht="45.75">
      <c r="A10" s="6" t="s">
        <v>147</v>
      </c>
      <c r="B10" s="6"/>
      <c r="C10" s="2"/>
      <c r="D10" s="2" t="s">
        <v>14</v>
      </c>
      <c r="E10" s="2" t="s">
        <v>15</v>
      </c>
      <c r="F10" s="2">
        <v>3.5</v>
      </c>
      <c r="G10" s="2"/>
      <c r="H10" s="2" t="str">
        <f>REPT("★", F10) &amp; REPT("☆", 5 - F10)</f>
        <v>★★★☆</v>
      </c>
      <c r="I10" s="7">
        <v>45468</v>
      </c>
      <c r="J10" s="2"/>
    </row>
    <row r="11" spans="1:10" ht="60.75">
      <c r="A11" s="6" t="s">
        <v>84</v>
      </c>
      <c r="B11" s="6"/>
      <c r="C11" s="2"/>
      <c r="D11" s="2" t="s">
        <v>14</v>
      </c>
      <c r="E11" s="2" t="s">
        <v>15</v>
      </c>
      <c r="F11" s="2">
        <v>4</v>
      </c>
      <c r="G11" s="2"/>
      <c r="H11" s="2" t="str">
        <f>REPT("★", F11) &amp; REPT("☆", 5 - F11)</f>
        <v>★★★★☆</v>
      </c>
      <c r="I11" s="7">
        <v>45474</v>
      </c>
      <c r="J11" s="2"/>
    </row>
    <row r="12" spans="1:10" ht="30.75">
      <c r="A12" s="6" t="s">
        <v>148</v>
      </c>
      <c r="B12" s="6"/>
      <c r="C12" s="2"/>
      <c r="D12" s="2" t="s">
        <v>14</v>
      </c>
      <c r="E12" s="2" t="s">
        <v>15</v>
      </c>
      <c r="F12" s="2">
        <v>3.5</v>
      </c>
      <c r="G12" s="2"/>
      <c r="H12" s="2" t="str">
        <f>REPT("★", F12) &amp; REPT("☆", 5 - F12)</f>
        <v>★★★☆</v>
      </c>
      <c r="I12" s="7">
        <v>45474</v>
      </c>
      <c r="J12" s="2"/>
    </row>
    <row r="13" spans="1:10" ht="45.75">
      <c r="A13" s="6" t="s">
        <v>149</v>
      </c>
      <c r="B13" s="6"/>
      <c r="C13" s="2"/>
      <c r="D13" s="2" t="s">
        <v>14</v>
      </c>
      <c r="E13" s="2" t="s">
        <v>15</v>
      </c>
      <c r="F13" s="2">
        <v>4.5</v>
      </c>
      <c r="G13" s="2"/>
      <c r="H13" s="2" t="str">
        <f>REPT("★", F13) &amp; REPT("☆", 5 - F13)</f>
        <v>★★★★</v>
      </c>
      <c r="I13" s="7">
        <v>45478</v>
      </c>
      <c r="J13" s="2"/>
    </row>
    <row r="14" spans="1:10" ht="60.75">
      <c r="A14" s="6" t="s">
        <v>150</v>
      </c>
      <c r="B14" s="6"/>
      <c r="C14" s="2"/>
      <c r="D14" s="2" t="s">
        <v>14</v>
      </c>
      <c r="E14" s="2" t="s">
        <v>15</v>
      </c>
      <c r="F14" s="2">
        <v>3.5</v>
      </c>
      <c r="G14" s="2"/>
      <c r="H14" s="2" t="str">
        <f>REPT("★", F14) &amp; REPT("☆", 5 - F14)</f>
        <v>★★★☆</v>
      </c>
      <c r="I14" s="7">
        <v>45482</v>
      </c>
      <c r="J14" s="2"/>
    </row>
    <row r="15" spans="1:10" ht="60.75">
      <c r="A15" s="6" t="s">
        <v>151</v>
      </c>
      <c r="B15" s="6"/>
      <c r="C15" s="2"/>
      <c r="D15" s="2" t="s">
        <v>14</v>
      </c>
      <c r="E15" s="2" t="s">
        <v>15</v>
      </c>
      <c r="F15" s="2">
        <v>4</v>
      </c>
      <c r="G15" s="2"/>
      <c r="H15" s="2" t="str">
        <f>REPT("★", F15) &amp; REPT("☆", 5 - F15)</f>
        <v>★★★★☆</v>
      </c>
      <c r="I15" s="7">
        <v>45487</v>
      </c>
      <c r="J15" s="2"/>
    </row>
    <row r="16" spans="1:10" ht="30.75">
      <c r="A16" s="6" t="s">
        <v>152</v>
      </c>
      <c r="B16" s="6"/>
      <c r="C16" s="2"/>
      <c r="D16" s="2" t="s">
        <v>14</v>
      </c>
      <c r="E16" s="2" t="s">
        <v>15</v>
      </c>
      <c r="F16" s="2"/>
      <c r="G16" s="2"/>
      <c r="H16" s="2" t="str">
        <f>REPT("★", F16) &amp; REPT("☆", 5 - F16)</f>
        <v>☆☆☆☆☆</v>
      </c>
      <c r="I16" s="7">
        <v>45489</v>
      </c>
      <c r="J16" s="2"/>
    </row>
    <row r="17" spans="1:10" ht="60.75">
      <c r="A17" s="6" t="s">
        <v>153</v>
      </c>
      <c r="B17" s="6"/>
      <c r="C17" s="2"/>
      <c r="D17" s="2" t="s">
        <v>14</v>
      </c>
      <c r="E17" s="2" t="s">
        <v>15</v>
      </c>
      <c r="F17" s="2">
        <v>5</v>
      </c>
      <c r="G17" s="2"/>
      <c r="H17" s="2" t="str">
        <f>REPT("★", F17) &amp; REPT("☆", 5 - F17)</f>
        <v>★★★★★</v>
      </c>
      <c r="I17" s="7">
        <v>45491</v>
      </c>
      <c r="J17" s="2"/>
    </row>
    <row r="18" spans="1:10" ht="60.75">
      <c r="A18" s="6" t="s">
        <v>37</v>
      </c>
      <c r="B18" s="6" t="s">
        <v>38</v>
      </c>
      <c r="C18" s="2" t="s">
        <v>29</v>
      </c>
      <c r="D18" s="2" t="s">
        <v>14</v>
      </c>
      <c r="E18" s="2" t="s">
        <v>19</v>
      </c>
      <c r="F18" s="2">
        <v>5</v>
      </c>
      <c r="G18" s="2">
        <v>368</v>
      </c>
      <c r="H18" s="2" t="str">
        <f>REPT("★", F18) &amp; REPT("☆", 5 - F18)</f>
        <v>★★★★★</v>
      </c>
      <c r="I18" s="7">
        <v>45494</v>
      </c>
      <c r="J18" s="2" t="s">
        <v>155</v>
      </c>
    </row>
    <row r="19" spans="1:10" ht="60.75">
      <c r="A19" s="6" t="s">
        <v>156</v>
      </c>
      <c r="B19" s="6"/>
      <c r="C19" s="2"/>
      <c r="D19" s="2" t="s">
        <v>14</v>
      </c>
      <c r="E19" s="2" t="s">
        <v>15</v>
      </c>
      <c r="F19" s="2">
        <v>3</v>
      </c>
      <c r="G19" s="2"/>
      <c r="H19" s="2" t="str">
        <f>REPT("★", F19) &amp; REPT("☆", 5 - F19)</f>
        <v>★★★☆☆</v>
      </c>
      <c r="I19" s="7">
        <v>45496</v>
      </c>
      <c r="J19" s="2"/>
    </row>
    <row r="20" spans="1:10" ht="45.75">
      <c r="A20" s="6" t="s">
        <v>139</v>
      </c>
      <c r="B20" s="6"/>
      <c r="C20" s="2"/>
      <c r="D20" s="2" t="s">
        <v>14</v>
      </c>
      <c r="E20" s="2" t="s">
        <v>15</v>
      </c>
      <c r="F20" s="2"/>
      <c r="G20" s="2"/>
      <c r="H20" s="2" t="str">
        <f>REPT("★", F20) &amp; REPT("☆", 5 - F20)</f>
        <v>☆☆☆☆☆</v>
      </c>
      <c r="I20" s="7">
        <v>45497</v>
      </c>
      <c r="J20" s="2"/>
    </row>
    <row r="21" spans="1:10" ht="45.75">
      <c r="A21" s="6" t="s">
        <v>157</v>
      </c>
      <c r="B21" s="6"/>
      <c r="C21" s="2"/>
      <c r="D21" s="2" t="s">
        <v>14</v>
      </c>
      <c r="E21" s="2" t="s">
        <v>15</v>
      </c>
      <c r="F21" s="2">
        <v>4.5</v>
      </c>
      <c r="G21" s="2"/>
      <c r="H21" s="2" t="str">
        <f>REPT("★", F21) &amp; REPT("☆", 5 - F21)</f>
        <v>★★★★</v>
      </c>
      <c r="I21" s="7">
        <v>45501</v>
      </c>
      <c r="J21" s="2"/>
    </row>
    <row r="22" spans="1:10" ht="30.75">
      <c r="A22" s="6" t="s">
        <v>158</v>
      </c>
      <c r="B22" s="6"/>
      <c r="C22" s="2"/>
      <c r="D22" s="2" t="s">
        <v>14</v>
      </c>
      <c r="E22" s="2" t="s">
        <v>15</v>
      </c>
      <c r="F22" s="2"/>
      <c r="G22" s="2"/>
      <c r="H22" s="2" t="str">
        <f>REPT("★", F22) &amp; REPT("☆", 5 - F22)</f>
        <v>☆☆☆☆☆</v>
      </c>
      <c r="I22" s="7">
        <v>45501</v>
      </c>
      <c r="J22" s="2"/>
    </row>
    <row r="23" spans="1:10" ht="60.75">
      <c r="A23" s="6" t="s">
        <v>159</v>
      </c>
      <c r="B23" s="6"/>
      <c r="C23" s="2"/>
      <c r="D23" s="2" t="s">
        <v>14</v>
      </c>
      <c r="E23" s="2" t="s">
        <v>15</v>
      </c>
      <c r="F23" s="2"/>
      <c r="G23" s="2"/>
      <c r="H23" s="2" t="str">
        <f>REPT("★", F23) &amp; REPT("☆", 5 - F23)</f>
        <v>☆☆☆☆☆</v>
      </c>
      <c r="I23" s="7">
        <v>45501</v>
      </c>
      <c r="J23" s="2"/>
    </row>
    <row r="24" spans="1:10" ht="30.75">
      <c r="A24" s="6" t="s">
        <v>160</v>
      </c>
      <c r="B24" s="6"/>
      <c r="C24" s="2"/>
      <c r="D24" s="2" t="s">
        <v>14</v>
      </c>
      <c r="E24" s="2" t="s">
        <v>15</v>
      </c>
      <c r="F24" s="2"/>
      <c r="G24" s="2"/>
      <c r="H24" s="2" t="str">
        <f>REPT("★", F24) &amp; REPT("☆", 5 - F24)</f>
        <v>☆☆☆☆☆</v>
      </c>
      <c r="I24" s="7">
        <v>45501</v>
      </c>
      <c r="J24" s="2"/>
    </row>
    <row r="25" spans="1:10" ht="45.75">
      <c r="A25" s="6" t="s">
        <v>161</v>
      </c>
      <c r="B25" s="6"/>
      <c r="C25" s="2"/>
      <c r="D25" s="2" t="s">
        <v>14</v>
      </c>
      <c r="E25" s="2" t="s">
        <v>15</v>
      </c>
      <c r="F25" s="2"/>
      <c r="G25" s="2"/>
      <c r="H25" s="2" t="str">
        <f>REPT("★", F25) &amp; REPT("☆", 5 - F25)</f>
        <v>☆☆☆☆☆</v>
      </c>
      <c r="I25" s="7">
        <v>45503</v>
      </c>
      <c r="J25" s="2"/>
    </row>
    <row r="26" spans="1:10" ht="30.75">
      <c r="A26" s="6" t="s">
        <v>162</v>
      </c>
      <c r="B26" s="6"/>
      <c r="C26" s="2"/>
      <c r="D26" s="2" t="s">
        <v>14</v>
      </c>
      <c r="E26" s="2" t="s">
        <v>15</v>
      </c>
      <c r="F26" s="2"/>
      <c r="G26" s="2"/>
      <c r="H26" s="2" t="str">
        <f>REPT("★", F26) &amp; REPT("☆", 5 - F26)</f>
        <v>☆☆☆☆☆</v>
      </c>
      <c r="I26" s="7">
        <v>45503</v>
      </c>
      <c r="J26" s="2"/>
    </row>
    <row r="27" spans="1:10" ht="45.75">
      <c r="A27" s="6" t="s">
        <v>163</v>
      </c>
      <c r="B27" s="6"/>
      <c r="C27" s="2"/>
      <c r="D27" s="2" t="s">
        <v>14</v>
      </c>
      <c r="E27" s="2" t="s">
        <v>15</v>
      </c>
      <c r="F27" s="2">
        <v>4</v>
      </c>
      <c r="G27" s="2"/>
      <c r="H27" s="2" t="str">
        <f>REPT("★", F27) &amp; REPT("☆", 5 - F27)</f>
        <v>★★★★☆</v>
      </c>
      <c r="I27" s="7">
        <v>45503</v>
      </c>
      <c r="J27" s="2"/>
    </row>
    <row r="28" spans="1:10" ht="60.75">
      <c r="A28" s="6" t="s">
        <v>164</v>
      </c>
      <c r="B28" s="6"/>
      <c r="C28" s="2"/>
      <c r="D28" s="2" t="s">
        <v>14</v>
      </c>
      <c r="E28" s="2" t="s">
        <v>15</v>
      </c>
      <c r="F28" s="2"/>
      <c r="G28" s="2"/>
      <c r="H28" s="2" t="str">
        <f>REPT("★", F28) &amp; REPT("☆", 5 - F28)</f>
        <v>☆☆☆☆☆</v>
      </c>
      <c r="I28" s="7">
        <v>45505</v>
      </c>
      <c r="J28" s="2"/>
    </row>
    <row r="29" spans="1:10" ht="91.5">
      <c r="A29" s="6" t="s">
        <v>165</v>
      </c>
      <c r="B29" s="6"/>
      <c r="C29" s="2"/>
      <c r="D29" s="2" t="s">
        <v>14</v>
      </c>
      <c r="E29" s="2" t="s">
        <v>15</v>
      </c>
      <c r="F29" s="2">
        <v>4</v>
      </c>
      <c r="G29" s="2"/>
      <c r="H29" s="2" t="str">
        <f>REPT("★", F29) &amp; REPT("☆", 5 - F29)</f>
        <v>★★★★☆</v>
      </c>
      <c r="I29" s="7">
        <v>45506</v>
      </c>
      <c r="J29" s="2"/>
    </row>
    <row r="30" spans="1:10" ht="30.75">
      <c r="A30" s="6" t="s">
        <v>166</v>
      </c>
      <c r="B30" s="6"/>
      <c r="C30" s="2"/>
      <c r="D30" s="2" t="s">
        <v>14</v>
      </c>
      <c r="E30" s="2" t="s">
        <v>15</v>
      </c>
      <c r="F30" s="2">
        <v>1</v>
      </c>
      <c r="G30" s="2"/>
      <c r="H30" s="2" t="str">
        <f>REPT("★", F30) &amp; REPT("☆", 5 - F30)</f>
        <v>★☆☆☆☆</v>
      </c>
      <c r="I30" s="7">
        <v>45506</v>
      </c>
      <c r="J30" s="2"/>
    </row>
    <row r="31" spans="1:10" ht="91.5">
      <c r="A31" s="6" t="s">
        <v>167</v>
      </c>
      <c r="B31" s="6"/>
      <c r="C31" s="2"/>
      <c r="D31" s="2" t="s">
        <v>14</v>
      </c>
      <c r="E31" s="2" t="s">
        <v>15</v>
      </c>
      <c r="F31" s="2">
        <v>3.5</v>
      </c>
      <c r="G31" s="2"/>
      <c r="H31" s="2" t="str">
        <f>REPT("★", F31) &amp; REPT("☆", 5 - F31)</f>
        <v>★★★☆</v>
      </c>
      <c r="I31" s="7">
        <v>45506</v>
      </c>
      <c r="J31" s="2"/>
    </row>
    <row r="32" spans="1:10" ht="76.5">
      <c r="A32" s="6" t="s">
        <v>168</v>
      </c>
      <c r="B32" s="6"/>
      <c r="C32" s="2"/>
      <c r="D32" s="2" t="s">
        <v>14</v>
      </c>
      <c r="E32" s="2" t="s">
        <v>15</v>
      </c>
      <c r="F32" s="2"/>
      <c r="G32" s="2"/>
      <c r="H32" s="2" t="str">
        <f>REPT("★", F32) &amp; REPT("☆", 5 - F32)</f>
        <v>☆☆☆☆☆</v>
      </c>
      <c r="I32" s="7">
        <v>45507</v>
      </c>
      <c r="J32" s="2"/>
    </row>
    <row r="33" spans="1:10">
      <c r="A33" s="6" t="s">
        <v>169</v>
      </c>
      <c r="B33" s="6"/>
      <c r="C33" s="2"/>
      <c r="D33" s="2" t="s">
        <v>14</v>
      </c>
      <c r="E33" s="2" t="s">
        <v>15</v>
      </c>
      <c r="F33" s="2">
        <v>3.5</v>
      </c>
      <c r="G33" s="2"/>
      <c r="H33" s="2" t="str">
        <f>REPT("★", F33) &amp; REPT("☆", 5 - F33)</f>
        <v>★★★☆</v>
      </c>
      <c r="I33" s="7">
        <v>45508</v>
      </c>
      <c r="J33" s="2"/>
    </row>
    <row r="34" spans="1:10">
      <c r="A34" s="6" t="s">
        <v>170</v>
      </c>
      <c r="B34" s="6"/>
      <c r="C34" s="2"/>
      <c r="D34" s="2" t="s">
        <v>14</v>
      </c>
      <c r="E34" s="2" t="s">
        <v>15</v>
      </c>
      <c r="F34" s="2"/>
      <c r="G34" s="2"/>
      <c r="H34" s="2" t="str">
        <f>REPT("★", F34) &amp; REPT("☆", 5 - F34)</f>
        <v>☆☆☆☆☆</v>
      </c>
      <c r="I34" s="7">
        <v>45508</v>
      </c>
      <c r="J34" s="2"/>
    </row>
    <row r="35" spans="1:10" ht="76.5">
      <c r="A35" s="6" t="s">
        <v>171</v>
      </c>
      <c r="B35" s="6"/>
      <c r="C35" s="2"/>
      <c r="D35" s="2" t="s">
        <v>14</v>
      </c>
      <c r="E35" s="2" t="s">
        <v>15</v>
      </c>
      <c r="F35" s="2">
        <v>3.5</v>
      </c>
      <c r="G35" s="2"/>
      <c r="H35" s="2" t="str">
        <f>REPT("★", F35) &amp; REPT("☆", 5 - F35)</f>
        <v>★★★☆</v>
      </c>
      <c r="I35" s="7">
        <v>45509</v>
      </c>
      <c r="J35" s="2"/>
    </row>
    <row r="36" spans="1:10" ht="45.75">
      <c r="A36" s="6" t="s">
        <v>172</v>
      </c>
      <c r="B36" s="6"/>
      <c r="C36" s="2"/>
      <c r="D36" s="2" t="s">
        <v>14</v>
      </c>
      <c r="E36" s="2" t="s">
        <v>15</v>
      </c>
      <c r="F36" s="2"/>
      <c r="G36" s="2"/>
      <c r="H36" s="2" t="str">
        <f>REPT("★", F36) &amp; REPT("☆", 5 - F36)</f>
        <v>☆☆☆☆☆</v>
      </c>
      <c r="I36" s="7">
        <v>45509</v>
      </c>
      <c r="J36" s="2"/>
    </row>
    <row r="37" spans="1:10" ht="30.75">
      <c r="A37" s="6" t="s">
        <v>173</v>
      </c>
      <c r="B37" s="6"/>
      <c r="C37" s="2"/>
      <c r="D37" s="2" t="s">
        <v>14</v>
      </c>
      <c r="E37" s="2" t="s">
        <v>15</v>
      </c>
      <c r="F37" s="2">
        <v>2.5</v>
      </c>
      <c r="G37" s="2"/>
      <c r="H37" s="2" t="str">
        <f>REPT("★", F37) &amp; REPT("☆", 5 - F37)</f>
        <v>★★☆☆</v>
      </c>
      <c r="I37" s="7">
        <v>45511</v>
      </c>
      <c r="J37" s="2"/>
    </row>
    <row r="38" spans="1:10" ht="30.75">
      <c r="A38" s="6" t="s">
        <v>174</v>
      </c>
      <c r="B38" s="6"/>
      <c r="C38" s="2"/>
      <c r="D38" s="2" t="s">
        <v>14</v>
      </c>
      <c r="E38" s="2" t="s">
        <v>15</v>
      </c>
      <c r="F38" s="2">
        <v>5</v>
      </c>
      <c r="G38" s="2"/>
      <c r="H38" s="2" t="str">
        <f>REPT("★", F38) &amp; REPT("☆", 5 - F38)</f>
        <v>★★★★★</v>
      </c>
      <c r="I38" s="7">
        <v>45511</v>
      </c>
      <c r="J38" s="2"/>
    </row>
    <row r="39" spans="1:10" ht="30.75">
      <c r="A39" s="6" t="s">
        <v>175</v>
      </c>
      <c r="B39" s="6"/>
      <c r="C39" s="2"/>
      <c r="D39" s="2" t="s">
        <v>14</v>
      </c>
      <c r="E39" s="2" t="s">
        <v>15</v>
      </c>
      <c r="F39" s="2"/>
      <c r="G39" s="2"/>
      <c r="H39" s="2" t="str">
        <f>REPT("★", F39) &amp; REPT("☆", 5 - F39)</f>
        <v>☆☆☆☆☆</v>
      </c>
      <c r="I39" s="7">
        <v>45512</v>
      </c>
      <c r="J39" s="2"/>
    </row>
    <row r="40" spans="1:10" ht="45.75">
      <c r="A40" s="6" t="s">
        <v>176</v>
      </c>
      <c r="B40" s="6"/>
      <c r="C40" s="2"/>
      <c r="D40" s="2" t="s">
        <v>14</v>
      </c>
      <c r="E40" s="2" t="s">
        <v>15</v>
      </c>
      <c r="F40" s="2">
        <v>2.5</v>
      </c>
      <c r="G40" s="2"/>
      <c r="H40" s="2" t="str">
        <f>REPT("★", F40) &amp; REPT("☆", 5 - F40)</f>
        <v>★★☆☆</v>
      </c>
      <c r="I40" s="7">
        <v>45514</v>
      </c>
      <c r="J40" s="2"/>
    </row>
    <row r="41" spans="1:10">
      <c r="A41" s="6" t="s">
        <v>177</v>
      </c>
      <c r="B41" s="6"/>
      <c r="C41" s="2"/>
      <c r="D41" s="2" t="s">
        <v>14</v>
      </c>
      <c r="E41" s="2" t="s">
        <v>15</v>
      </c>
      <c r="F41" s="2">
        <v>5</v>
      </c>
      <c r="G41" s="2"/>
      <c r="H41" s="2" t="str">
        <f>REPT("★", F41) &amp; REPT("☆", 5 - F41)</f>
        <v>★★★★★</v>
      </c>
      <c r="I41" s="7">
        <v>45517</v>
      </c>
      <c r="J41" s="2"/>
    </row>
    <row r="42" spans="1:10" ht="91.5">
      <c r="A42" s="6" t="s">
        <v>178</v>
      </c>
      <c r="B42" s="6"/>
      <c r="C42" s="2"/>
      <c r="D42" s="2" t="s">
        <v>14</v>
      </c>
      <c r="E42" s="2" t="s">
        <v>15</v>
      </c>
      <c r="F42" s="2"/>
      <c r="G42" s="2"/>
      <c r="H42" s="2" t="str">
        <f>REPT("★", F42) &amp; REPT("☆", 5 - F42)</f>
        <v>☆☆☆☆☆</v>
      </c>
      <c r="I42" s="7">
        <v>45519</v>
      </c>
      <c r="J42" s="2"/>
    </row>
    <row r="43" spans="1:10" ht="30.75">
      <c r="A43" s="6" t="s">
        <v>179</v>
      </c>
      <c r="B43" s="6"/>
      <c r="C43" s="2"/>
      <c r="D43" s="2" t="s">
        <v>14</v>
      </c>
      <c r="E43" s="2" t="s">
        <v>15</v>
      </c>
      <c r="F43" s="2"/>
      <c r="G43" s="2"/>
      <c r="H43" s="2" t="str">
        <f>REPT("★", F43) &amp; REPT("☆", 5 - F43)</f>
        <v>☆☆☆☆☆</v>
      </c>
      <c r="I43" s="7">
        <v>45519</v>
      </c>
      <c r="J43" s="2"/>
    </row>
    <row r="44" spans="1:10" ht="60.75">
      <c r="A44" s="6" t="s">
        <v>180</v>
      </c>
      <c r="B44" s="6"/>
      <c r="C44" s="2"/>
      <c r="D44" s="2" t="s">
        <v>14</v>
      </c>
      <c r="E44" s="2" t="s">
        <v>15</v>
      </c>
      <c r="F44" s="2"/>
      <c r="G44" s="2"/>
      <c r="H44" s="2" t="str">
        <f>REPT("★", F44) &amp; REPT("☆", 5 - F44)</f>
        <v>☆☆☆☆☆</v>
      </c>
      <c r="I44" s="7">
        <v>45521</v>
      </c>
      <c r="J44" s="2"/>
    </row>
    <row r="45" spans="1:10" ht="45.75">
      <c r="A45" s="6" t="s">
        <v>181</v>
      </c>
      <c r="B45" s="6"/>
      <c r="C45" s="2"/>
      <c r="D45" s="2" t="s">
        <v>14</v>
      </c>
      <c r="E45" s="2" t="s">
        <v>15</v>
      </c>
      <c r="F45" s="2">
        <v>4.5</v>
      </c>
      <c r="G45" s="2"/>
      <c r="H45" s="2" t="str">
        <f>REPT("★", F45) &amp; REPT("☆", 5 - F45)</f>
        <v>★★★★</v>
      </c>
      <c r="I45" s="7">
        <v>45521</v>
      </c>
      <c r="J45" s="2"/>
    </row>
    <row r="46" spans="1:10" ht="45.75">
      <c r="A46" s="6" t="s">
        <v>182</v>
      </c>
      <c r="B46" s="6"/>
      <c r="C46" s="2"/>
      <c r="D46" s="2" t="s">
        <v>14</v>
      </c>
      <c r="E46" s="2" t="s">
        <v>15</v>
      </c>
      <c r="F46" s="2"/>
      <c r="G46" s="2"/>
      <c r="H46" s="2" t="str">
        <f>REPT("★", F46) &amp; REPT("☆", 5 - F46)</f>
        <v>☆☆☆☆☆</v>
      </c>
      <c r="I46" s="7">
        <v>45522</v>
      </c>
      <c r="J46" s="2"/>
    </row>
    <row r="47" spans="1:10" ht="60.75">
      <c r="A47" s="6" t="s">
        <v>183</v>
      </c>
      <c r="B47" s="6"/>
      <c r="C47" s="2"/>
      <c r="D47" s="2" t="s">
        <v>14</v>
      </c>
      <c r="E47" s="2" t="s">
        <v>15</v>
      </c>
      <c r="F47" s="2"/>
      <c r="G47" s="2"/>
      <c r="H47" s="2" t="str">
        <f>REPT("★", F47) &amp; REPT("☆", 5 - F47)</f>
        <v>☆☆☆☆☆</v>
      </c>
      <c r="I47" s="7">
        <v>45523</v>
      </c>
      <c r="J47" s="2"/>
    </row>
    <row r="48" spans="1:10" ht="45.75">
      <c r="A48" s="6" t="s">
        <v>184</v>
      </c>
      <c r="B48" s="6"/>
      <c r="C48" s="2"/>
      <c r="D48" s="2" t="s">
        <v>14</v>
      </c>
      <c r="E48" s="2" t="s">
        <v>15</v>
      </c>
      <c r="F48" s="2"/>
      <c r="G48" s="2"/>
      <c r="H48" s="2" t="str">
        <f>REPT("★", F48) &amp; REPT("☆", 5 - F48)</f>
        <v>☆☆☆☆☆</v>
      </c>
      <c r="I48" s="7">
        <v>45529</v>
      </c>
      <c r="J48" s="2"/>
    </row>
    <row r="49" spans="1:10" ht="60.75">
      <c r="A49" s="6" t="s">
        <v>185</v>
      </c>
      <c r="B49" s="6"/>
      <c r="C49" s="2"/>
      <c r="D49" s="2" t="s">
        <v>14</v>
      </c>
      <c r="E49" s="2" t="s">
        <v>15</v>
      </c>
      <c r="F49" s="2"/>
      <c r="G49" s="2"/>
      <c r="H49" s="2" t="str">
        <f>REPT("★", F49) &amp; REPT("☆", 5 - F49)</f>
        <v>☆☆☆☆☆</v>
      </c>
      <c r="I49" s="7">
        <v>45530</v>
      </c>
      <c r="J49" s="2"/>
    </row>
    <row r="50" spans="1:10" ht="30.75">
      <c r="A50" s="6" t="s">
        <v>186</v>
      </c>
      <c r="B50" s="6"/>
      <c r="C50" s="2"/>
      <c r="D50" s="2" t="s">
        <v>14</v>
      </c>
      <c r="E50" s="2" t="s">
        <v>15</v>
      </c>
      <c r="F50" s="2"/>
      <c r="G50" s="2"/>
      <c r="H50" s="2" t="str">
        <f>REPT("★", F50) &amp; REPT("☆", 5 - F50)</f>
        <v>☆☆☆☆☆</v>
      </c>
      <c r="I50" s="7">
        <v>45540</v>
      </c>
      <c r="J50" s="2"/>
    </row>
    <row r="51" spans="1:10" ht="45.75">
      <c r="A51" s="6" t="s">
        <v>187</v>
      </c>
      <c r="B51" s="6"/>
      <c r="C51" s="2"/>
      <c r="D51" s="2" t="s">
        <v>14</v>
      </c>
      <c r="E51" s="2" t="s">
        <v>15</v>
      </c>
      <c r="F51" s="2"/>
      <c r="G51" s="2"/>
      <c r="H51" s="2" t="str">
        <f>REPT("★", F51) &amp; REPT("☆", 5 - F51)</f>
        <v>☆☆☆☆☆</v>
      </c>
      <c r="I51" s="7">
        <v>45545</v>
      </c>
      <c r="J51" s="2"/>
    </row>
    <row r="52" spans="1:10" ht="45.75">
      <c r="A52" s="6" t="s">
        <v>188</v>
      </c>
      <c r="B52" s="6" t="s">
        <v>189</v>
      </c>
      <c r="C52" s="2" t="s">
        <v>190</v>
      </c>
      <c r="D52" s="2" t="s">
        <v>14</v>
      </c>
      <c r="E52" s="2" t="s">
        <v>19</v>
      </c>
      <c r="F52" s="2">
        <v>4.5</v>
      </c>
      <c r="G52" s="2">
        <v>387</v>
      </c>
      <c r="H52" s="2" t="str">
        <f>REPT("★", F52) &amp; REPT("☆", 5 - F52)</f>
        <v>★★★★</v>
      </c>
      <c r="I52" s="7">
        <v>45548</v>
      </c>
      <c r="J52" s="2" t="s">
        <v>191</v>
      </c>
    </row>
    <row r="53" spans="1:10" ht="60.75">
      <c r="A53" s="6" t="s">
        <v>192</v>
      </c>
      <c r="B53" s="6" t="s">
        <v>193</v>
      </c>
      <c r="C53" s="2" t="s">
        <v>194</v>
      </c>
      <c r="D53" s="2" t="s">
        <v>14</v>
      </c>
      <c r="E53" s="2" t="s">
        <v>19</v>
      </c>
      <c r="F53" s="2">
        <v>5</v>
      </c>
      <c r="G53" s="2">
        <v>64</v>
      </c>
      <c r="H53" s="2" t="str">
        <f>REPT("★", F53) &amp; REPT("☆", 5 - F53)</f>
        <v>★★★★★</v>
      </c>
      <c r="I53" s="7">
        <v>45550</v>
      </c>
      <c r="J53" s="2"/>
    </row>
    <row r="54" spans="1:10" ht="60.75">
      <c r="A54" s="6" t="s">
        <v>195</v>
      </c>
      <c r="B54" s="6"/>
      <c r="C54" s="2"/>
      <c r="D54" s="2" t="s">
        <v>14</v>
      </c>
      <c r="E54" s="2" t="s">
        <v>15</v>
      </c>
      <c r="F54" s="2">
        <v>5</v>
      </c>
      <c r="G54" s="2"/>
      <c r="H54" s="2" t="str">
        <f>REPT("★", F54) &amp; REPT("☆", 5 - F54)</f>
        <v>★★★★★</v>
      </c>
      <c r="I54" s="7">
        <v>45552</v>
      </c>
      <c r="J54" s="2"/>
    </row>
    <row r="55" spans="1:10" ht="60.75">
      <c r="A55" s="6" t="s">
        <v>196</v>
      </c>
      <c r="B55" s="6"/>
      <c r="C55" s="2"/>
      <c r="D55" s="2" t="s">
        <v>14</v>
      </c>
      <c r="E55" s="2" t="s">
        <v>15</v>
      </c>
      <c r="F55" s="2">
        <v>4.5</v>
      </c>
      <c r="G55" s="2"/>
      <c r="H55" s="2" t="str">
        <f>REPT("★", F55) &amp; REPT("☆", 5 - F55)</f>
        <v>★★★★</v>
      </c>
      <c r="I55" s="7">
        <v>45553</v>
      </c>
      <c r="J55" s="2"/>
    </row>
    <row r="56" spans="1:10" ht="45.75">
      <c r="A56" s="6" t="s">
        <v>197</v>
      </c>
      <c r="B56" s="6"/>
      <c r="C56" s="2"/>
      <c r="D56" s="2" t="s">
        <v>14</v>
      </c>
      <c r="E56" s="2" t="s">
        <v>15</v>
      </c>
      <c r="F56" s="2">
        <v>3.5</v>
      </c>
      <c r="G56" s="2"/>
      <c r="H56" s="2" t="str">
        <f>REPT("★", F56) &amp; REPT("☆", 5 - F56)</f>
        <v>★★★☆</v>
      </c>
      <c r="I56" s="7">
        <v>45554</v>
      </c>
      <c r="J56" s="2"/>
    </row>
    <row r="57" spans="1:10">
      <c r="A57" s="6" t="s">
        <v>198</v>
      </c>
      <c r="B57" s="6"/>
      <c r="C57" s="2"/>
      <c r="D57" s="2" t="s">
        <v>14</v>
      </c>
      <c r="E57" s="2" t="s">
        <v>15</v>
      </c>
      <c r="F57" s="2"/>
      <c r="G57" s="2"/>
      <c r="H57" s="2" t="str">
        <f>REPT("★", F57) &amp; REPT("☆", 5 - F57)</f>
        <v>☆☆☆☆☆</v>
      </c>
      <c r="I57" s="7">
        <v>45554</v>
      </c>
      <c r="J57" s="2"/>
    </row>
    <row r="58" spans="1:10" ht="60.75">
      <c r="A58" s="6" t="s">
        <v>199</v>
      </c>
      <c r="B58" s="6"/>
      <c r="C58" s="2"/>
      <c r="D58" s="2" t="s">
        <v>14</v>
      </c>
      <c r="E58" s="2" t="s">
        <v>15</v>
      </c>
      <c r="F58" s="2">
        <v>3.5</v>
      </c>
      <c r="G58" s="2"/>
      <c r="H58" s="2" t="str">
        <f>REPT("★", F58) &amp; REPT("☆", 5 - F58)</f>
        <v>★★★☆</v>
      </c>
      <c r="I58" s="7">
        <v>45555</v>
      </c>
      <c r="J58" s="2"/>
    </row>
    <row r="59" spans="1:10" ht="30.75">
      <c r="A59" s="6" t="s">
        <v>200</v>
      </c>
      <c r="B59" s="6"/>
      <c r="C59" s="2"/>
      <c r="D59" s="2" t="s">
        <v>14</v>
      </c>
      <c r="E59" s="2" t="s">
        <v>15</v>
      </c>
      <c r="F59" s="2"/>
      <c r="G59" s="2"/>
      <c r="H59" s="2" t="str">
        <f>REPT("★", F59) &amp; REPT("☆", 5 - F59)</f>
        <v>☆☆☆☆☆</v>
      </c>
      <c r="I59" s="7">
        <v>45559</v>
      </c>
      <c r="J59" s="2"/>
    </row>
    <row r="60" spans="1:10" ht="30.75">
      <c r="A60" s="6" t="s">
        <v>201</v>
      </c>
      <c r="B60" s="6"/>
      <c r="C60" s="2"/>
      <c r="D60" s="2" t="s">
        <v>14</v>
      </c>
      <c r="E60" s="2" t="s">
        <v>15</v>
      </c>
      <c r="F60" s="2">
        <v>4</v>
      </c>
      <c r="G60" s="2"/>
      <c r="H60" s="2" t="str">
        <f>REPT("★", F60) &amp; REPT("☆", 5 - F60)</f>
        <v>★★★★☆</v>
      </c>
      <c r="I60" s="7">
        <v>45560</v>
      </c>
      <c r="J60" s="2"/>
    </row>
    <row r="61" spans="1:10" ht="45.75">
      <c r="A61" s="6" t="s">
        <v>202</v>
      </c>
      <c r="B61" s="6"/>
      <c r="C61" s="2"/>
      <c r="D61" s="2" t="s">
        <v>14</v>
      </c>
      <c r="E61" s="2" t="s">
        <v>15</v>
      </c>
      <c r="F61" s="2">
        <v>4</v>
      </c>
      <c r="G61" s="2"/>
      <c r="H61" s="2" t="str">
        <f>REPT("★", F61) &amp; REPT("☆", 5 - F61)</f>
        <v>★★★★☆</v>
      </c>
      <c r="I61" s="7">
        <v>45561</v>
      </c>
      <c r="J61" s="2"/>
    </row>
    <row r="62" spans="1:10" ht="76.5">
      <c r="A62" s="6" t="s">
        <v>203</v>
      </c>
      <c r="B62" s="6"/>
      <c r="C62" s="2"/>
      <c r="D62" s="2" t="s">
        <v>14</v>
      </c>
      <c r="E62" s="2" t="s">
        <v>15</v>
      </c>
      <c r="F62" s="2"/>
      <c r="G62" s="2"/>
      <c r="H62" s="2" t="str">
        <f>REPT("★", F62) &amp; REPT("☆", 5 - F62)</f>
        <v>☆☆☆☆☆</v>
      </c>
      <c r="I62" s="7">
        <v>45562</v>
      </c>
      <c r="J62" s="2"/>
    </row>
    <row r="63" spans="1:10" ht="30.75">
      <c r="A63" s="6" t="s">
        <v>204</v>
      </c>
      <c r="B63" s="6"/>
      <c r="C63" s="2"/>
      <c r="D63" s="2" t="s">
        <v>14</v>
      </c>
      <c r="E63" s="2" t="s">
        <v>15</v>
      </c>
      <c r="F63" s="2">
        <v>4</v>
      </c>
      <c r="G63" s="2"/>
      <c r="H63" s="2" t="str">
        <f>REPT("★", F63) &amp; REPT("☆", 5 - F63)</f>
        <v>★★★★☆</v>
      </c>
      <c r="I63" s="7">
        <v>45564</v>
      </c>
      <c r="J63" s="2"/>
    </row>
    <row r="64" spans="1:10" ht="60.75">
      <c r="A64" s="6" t="s">
        <v>205</v>
      </c>
      <c r="B64" s="6"/>
      <c r="C64" s="2"/>
      <c r="D64" s="2" t="s">
        <v>14</v>
      </c>
      <c r="E64" s="2" t="s">
        <v>15</v>
      </c>
      <c r="F64" s="2">
        <v>5</v>
      </c>
      <c r="G64" s="2"/>
      <c r="H64" s="2" t="str">
        <f>REPT("★", F64) &amp; REPT("☆", 5 - F64)</f>
        <v>★★★★★</v>
      </c>
      <c r="I64" s="7">
        <v>45569</v>
      </c>
      <c r="J64" s="2"/>
    </row>
    <row r="65" spans="1:10" ht="106.5">
      <c r="A65" s="6" t="s">
        <v>92</v>
      </c>
      <c r="B65" s="6"/>
      <c r="C65" s="2"/>
      <c r="D65" s="2" t="s">
        <v>14</v>
      </c>
      <c r="E65" s="2" t="s">
        <v>15</v>
      </c>
      <c r="F65" s="2">
        <v>4</v>
      </c>
      <c r="G65" s="2"/>
      <c r="H65" s="2" t="str">
        <f>REPT("★", F65) &amp; REPT("☆", 5 - F65)</f>
        <v>★★★★☆</v>
      </c>
      <c r="I65" s="7">
        <v>45571</v>
      </c>
      <c r="J65" s="2"/>
    </row>
    <row r="66" spans="1:10" ht="30.75">
      <c r="A66" s="6" t="s">
        <v>144</v>
      </c>
      <c r="B66" s="6"/>
      <c r="C66" s="2"/>
      <c r="D66" s="2" t="s">
        <v>14</v>
      </c>
      <c r="E66" s="2" t="s">
        <v>15</v>
      </c>
      <c r="F66" s="2">
        <v>5</v>
      </c>
      <c r="G66" s="2"/>
      <c r="H66" s="2" t="str">
        <f>REPT("★", F66) &amp; REPT("☆", 5 - F66)</f>
        <v>★★★★★</v>
      </c>
      <c r="I66" s="7">
        <v>45573</v>
      </c>
      <c r="J66" s="2"/>
    </row>
    <row r="67" spans="1:10" ht="45.75">
      <c r="A67" s="6" t="s">
        <v>206</v>
      </c>
      <c r="B67" s="6"/>
      <c r="C67" s="2"/>
      <c r="D67" s="2" t="s">
        <v>14</v>
      </c>
      <c r="E67" s="2" t="s">
        <v>15</v>
      </c>
      <c r="F67" s="2">
        <v>4.5</v>
      </c>
      <c r="G67" s="2"/>
      <c r="H67" s="2" t="str">
        <f>REPT("★", F67) &amp; REPT("☆", 5 - F67)</f>
        <v>★★★★</v>
      </c>
      <c r="I67" s="7">
        <v>45575</v>
      </c>
      <c r="J67" s="2"/>
    </row>
    <row r="68" spans="1:10" ht="60.75">
      <c r="A68" s="6" t="s">
        <v>150</v>
      </c>
      <c r="B68" s="6"/>
      <c r="C68" s="2"/>
      <c r="D68" s="2" t="s">
        <v>14</v>
      </c>
      <c r="E68" s="2" t="s">
        <v>15</v>
      </c>
      <c r="F68" s="2">
        <v>4.9000000000000004</v>
      </c>
      <c r="G68" s="2"/>
      <c r="H68" s="2" t="str">
        <f>REPT("★", F68) &amp; REPT("☆", 5 - F68)</f>
        <v>★★★★</v>
      </c>
      <c r="I68" s="7">
        <v>45576</v>
      </c>
      <c r="J68" s="2"/>
    </row>
    <row r="69" spans="1:10" ht="45.75">
      <c r="A69" s="6" t="s">
        <v>139</v>
      </c>
      <c r="B69" s="6"/>
      <c r="C69" s="2"/>
      <c r="D69" s="2" t="s">
        <v>14</v>
      </c>
      <c r="E69" s="2" t="s">
        <v>15</v>
      </c>
      <c r="F69" s="2"/>
      <c r="G69" s="2"/>
      <c r="H69" s="2" t="str">
        <f>REPT("★", F69) &amp; REPT("☆", 5 - F69)</f>
        <v>☆☆☆☆☆</v>
      </c>
      <c r="I69" s="7">
        <v>45579</v>
      </c>
      <c r="J69" s="2"/>
    </row>
    <row r="70" spans="1:10" ht="76.5">
      <c r="A70" s="6" t="s">
        <v>168</v>
      </c>
      <c r="B70" s="6"/>
      <c r="C70" s="2"/>
      <c r="D70" s="2" t="s">
        <v>14</v>
      </c>
      <c r="E70" s="2" t="s">
        <v>15</v>
      </c>
      <c r="F70" s="2">
        <v>5</v>
      </c>
      <c r="G70" s="2"/>
      <c r="H70" s="2" t="str">
        <f>REPT("★", F70) &amp; REPT("☆", 5 - F70)</f>
        <v>★★★★★</v>
      </c>
      <c r="I70" s="7">
        <v>45579</v>
      </c>
      <c r="J70" s="2"/>
    </row>
    <row r="71" spans="1:10" ht="30.75">
      <c r="A71" s="6" t="s">
        <v>207</v>
      </c>
      <c r="B71" s="6"/>
      <c r="C71" s="2"/>
      <c r="D71" s="2" t="s">
        <v>14</v>
      </c>
      <c r="E71" s="2" t="s">
        <v>15</v>
      </c>
      <c r="F71" s="2"/>
      <c r="G71" s="2"/>
      <c r="H71" s="2" t="str">
        <f>REPT("★", F71) &amp; REPT("☆", 5 - F71)</f>
        <v>☆☆☆☆☆</v>
      </c>
      <c r="I71" s="7">
        <v>45580</v>
      </c>
      <c r="J71" s="2"/>
    </row>
    <row r="72" spans="1:10" ht="76.5">
      <c r="A72" s="6" t="s">
        <v>208</v>
      </c>
      <c r="B72" s="6"/>
      <c r="C72" s="2"/>
      <c r="D72" s="2" t="s">
        <v>14</v>
      </c>
      <c r="E72" s="2" t="s">
        <v>15</v>
      </c>
      <c r="F72" s="2"/>
      <c r="G72" s="2"/>
      <c r="H72" s="2" t="str">
        <f>REPT("★", F72) &amp; REPT("☆", 5 - F72)</f>
        <v>☆☆☆☆☆</v>
      </c>
      <c r="I72" s="7">
        <v>45581</v>
      </c>
      <c r="J72" s="2"/>
    </row>
    <row r="73" spans="1:10" ht="60.75">
      <c r="A73" s="6" t="s">
        <v>209</v>
      </c>
      <c r="B73" s="6"/>
      <c r="C73" s="2"/>
      <c r="D73" s="2" t="s">
        <v>14</v>
      </c>
      <c r="E73" s="2" t="s">
        <v>15</v>
      </c>
      <c r="F73" s="2"/>
      <c r="G73" s="2"/>
      <c r="H73" s="2" t="str">
        <f>REPT("★", F73) &amp; REPT("☆", 5 - F73)</f>
        <v>☆☆☆☆☆</v>
      </c>
      <c r="I73" s="7">
        <v>45589</v>
      </c>
      <c r="J73" s="2"/>
    </row>
    <row r="74" spans="1:10" ht="30.75">
      <c r="A74" s="6" t="s">
        <v>210</v>
      </c>
      <c r="B74" s="6"/>
      <c r="C74" s="2"/>
      <c r="D74" s="2" t="s">
        <v>14</v>
      </c>
      <c r="E74" s="2" t="s">
        <v>15</v>
      </c>
      <c r="F74" s="2">
        <v>5</v>
      </c>
      <c r="G74" s="2"/>
      <c r="H74" s="2" t="str">
        <f>REPT("★", F74) &amp; REPT("☆", 5 - F74)</f>
        <v>★★★★★</v>
      </c>
      <c r="I74" s="7">
        <v>45604</v>
      </c>
      <c r="J74" s="2" t="s">
        <v>211</v>
      </c>
    </row>
    <row r="75" spans="1:10" ht="30.75">
      <c r="A75" s="6" t="s">
        <v>212</v>
      </c>
      <c r="B75" s="6"/>
      <c r="C75" s="2"/>
      <c r="D75" s="2" t="s">
        <v>14</v>
      </c>
      <c r="E75" s="2" t="s">
        <v>15</v>
      </c>
      <c r="F75" s="2"/>
      <c r="G75" s="2"/>
      <c r="H75" s="2" t="str">
        <f>REPT("★", F75) &amp; REPT("☆", 5 - F75)</f>
        <v>☆☆☆☆☆</v>
      </c>
      <c r="I75" s="7">
        <v>45613</v>
      </c>
      <c r="J75" s="2"/>
    </row>
    <row r="76" spans="1:10" ht="30.75">
      <c r="A76" s="6" t="s">
        <v>213</v>
      </c>
      <c r="B76" s="6"/>
      <c r="C76" s="2"/>
      <c r="D76" s="2" t="s">
        <v>14</v>
      </c>
      <c r="E76" s="2" t="s">
        <v>15</v>
      </c>
      <c r="F76" s="2"/>
      <c r="G76" s="2"/>
      <c r="H76" s="2" t="str">
        <f>REPT("★", F76) &amp; REPT("☆", 5 - F76)</f>
        <v>☆☆☆☆☆</v>
      </c>
      <c r="I76" s="7">
        <v>45644</v>
      </c>
      <c r="J76" s="2"/>
    </row>
    <row r="77" spans="1:10" ht="30.75">
      <c r="A77" s="6" t="s">
        <v>214</v>
      </c>
      <c r="B77" s="6"/>
      <c r="C77" s="2"/>
      <c r="D77" s="2" t="s">
        <v>14</v>
      </c>
      <c r="E77" s="2" t="s">
        <v>15</v>
      </c>
      <c r="F77" s="2"/>
      <c r="G77" s="2"/>
      <c r="H77" s="2" t="str">
        <f>REPT("★", F77) &amp; REPT("☆", 5 - F77)</f>
        <v>☆☆☆☆☆</v>
      </c>
      <c r="I77" s="7">
        <v>45645</v>
      </c>
      <c r="J77" s="2"/>
    </row>
    <row r="78" spans="1:10" ht="30.75">
      <c r="A78" s="6" t="s">
        <v>160</v>
      </c>
      <c r="B78" s="6"/>
      <c r="C78" s="2"/>
      <c r="D78" s="2" t="s">
        <v>14</v>
      </c>
      <c r="E78" s="2" t="s">
        <v>15</v>
      </c>
      <c r="F78" s="2"/>
      <c r="G78" s="2"/>
      <c r="H78" s="2" t="str">
        <f>REPT("★", F78) &amp; REPT("☆", 5 - F78)</f>
        <v>☆☆☆☆☆</v>
      </c>
      <c r="I78" s="7">
        <v>45646</v>
      </c>
      <c r="J78" s="2"/>
    </row>
    <row r="79" spans="1:10" ht="45.75">
      <c r="A79" s="6" t="s">
        <v>181</v>
      </c>
      <c r="B79" s="6"/>
      <c r="C79" s="2"/>
      <c r="D79" s="2" t="s">
        <v>14</v>
      </c>
      <c r="E79" s="2" t="s">
        <v>15</v>
      </c>
      <c r="F79" s="2"/>
      <c r="G79" s="2"/>
      <c r="H79" s="2" t="str">
        <f>REPT("★", F79) &amp; REPT("☆", 5 - F79)</f>
        <v>☆☆☆☆☆</v>
      </c>
      <c r="I79" s="7">
        <v>45646</v>
      </c>
      <c r="J79" s="2"/>
    </row>
    <row r="80" spans="1:10" ht="30.75">
      <c r="A80" s="6" t="s">
        <v>204</v>
      </c>
      <c r="B80" s="6"/>
      <c r="C80" s="2"/>
      <c r="D80" s="2" t="s">
        <v>14</v>
      </c>
      <c r="E80" s="2" t="s">
        <v>15</v>
      </c>
      <c r="F80" s="2"/>
      <c r="G80" s="2"/>
      <c r="H80" s="2" t="str">
        <f>REPT("★", F80) &amp; REPT("☆", 5 - F80)</f>
        <v>☆☆☆☆☆</v>
      </c>
      <c r="I80" s="7">
        <v>45653</v>
      </c>
      <c r="J80" s="2"/>
    </row>
    <row r="81" spans="1:10" ht="45.75">
      <c r="A81" s="6" t="s">
        <v>215</v>
      </c>
      <c r="B81" s="6"/>
      <c r="C81" s="2"/>
      <c r="D81" s="2" t="s">
        <v>14</v>
      </c>
      <c r="E81" s="2" t="s">
        <v>15</v>
      </c>
      <c r="F81" s="2"/>
      <c r="G81" s="2"/>
      <c r="H81" s="2" t="str">
        <f>REPT("★", F81) &amp; REPT("☆", 5 - F81)</f>
        <v>☆☆☆☆☆</v>
      </c>
      <c r="I81" s="7">
        <v>45657</v>
      </c>
      <c r="J81" s="2"/>
    </row>
    <row r="82" spans="1:10" ht="30.75">
      <c r="A82" s="6" t="s">
        <v>154</v>
      </c>
      <c r="B82" s="6"/>
      <c r="C82" s="2"/>
      <c r="D82" s="2" t="s">
        <v>14</v>
      </c>
      <c r="E82" s="2" t="s">
        <v>15</v>
      </c>
      <c r="F82" s="2">
        <v>3.5</v>
      </c>
      <c r="G82" s="2"/>
      <c r="H82" s="2" t="str">
        <f>REPT("★", F82) &amp; REPT("☆", 5 - F82)</f>
        <v>★★★☆</v>
      </c>
      <c r="I82" s="7">
        <v>45493</v>
      </c>
      <c r="J82" s="2"/>
    </row>
  </sheetData>
  <mergeCells count="1">
    <mergeCell ref="A1:J1"/>
  </mergeCells>
  <conditionalFormatting sqref="D1:D4">
    <cfRule type="containsText" dxfId="35" priority="9" operator="containsText" text="WANT TO READ">
      <formula>NOT(ISERROR(SEARCH("WANT TO READ",D1)))</formula>
    </cfRule>
    <cfRule type="containsText" dxfId="34" priority="10" operator="containsText" text="ABANDONED">
      <formula>NOT(ISERROR(SEARCH("ABANDONED",D1)))</formula>
    </cfRule>
    <cfRule type="containsText" dxfId="33" priority="11" operator="containsText" text="READING">
      <formula>NOT(ISERROR(SEARCH("READING",D1)))</formula>
    </cfRule>
    <cfRule type="containsText" dxfId="32" priority="12" operator="containsText" text="FINISHED">
      <formula>NOT(ISERROR(SEARCH("FINISHED",D1)))</formula>
    </cfRule>
  </conditionalFormatting>
  <conditionalFormatting sqref="D5:D81">
    <cfRule type="containsText" dxfId="31" priority="5" operator="containsText" text="WANT TO READ">
      <formula>NOT(ISERROR(SEARCH("WANT TO READ",D5)))</formula>
    </cfRule>
    <cfRule type="containsText" dxfId="30" priority="6" operator="containsText" text="ABANDONED">
      <formula>NOT(ISERROR(SEARCH("ABANDONED",D5)))</formula>
    </cfRule>
    <cfRule type="containsText" dxfId="29" priority="7" operator="containsText" text="READING">
      <formula>NOT(ISERROR(SEARCH("READING",D5)))</formula>
    </cfRule>
    <cfRule type="containsText" dxfId="28" priority="8" operator="containsText" text="FINISHED">
      <formula>NOT(ISERROR(SEARCH("FINISHED",D5)))</formula>
    </cfRule>
  </conditionalFormatting>
  <conditionalFormatting sqref="D82">
    <cfRule type="containsText" dxfId="27" priority="1" operator="containsText" text="WANT TO READ">
      <formula>NOT(ISERROR(SEARCH("WANT TO READ",D82)))</formula>
    </cfRule>
    <cfRule type="containsText" dxfId="26" priority="2" operator="containsText" text="ABANDONED">
      <formula>NOT(ISERROR(SEARCH("ABANDONED",D82)))</formula>
    </cfRule>
    <cfRule type="containsText" dxfId="25" priority="3" operator="containsText" text="READING">
      <formula>NOT(ISERROR(SEARCH("READING",D82)))</formula>
    </cfRule>
    <cfRule type="containsText" dxfId="24" priority="4" operator="containsText" text="FINISHED">
      <formula>NOT(ISERROR(SEARCH("FINISHED",D82)))</formula>
    </cfRule>
  </conditionalFormatting>
  <dataValidations count="2">
    <dataValidation type="list" allowBlank="1" showInputMessage="1" showErrorMessage="1" sqref="E5:E82" xr:uid="{AFB0B72D-3446-4CE8-A9C0-37751DF17900}">
      <formula1>"Physical, Ebook, Audiobook"</formula1>
    </dataValidation>
    <dataValidation type="list" allowBlank="1" showInputMessage="1" showErrorMessage="1" sqref="D5:D82" xr:uid="{05A8EFC4-42D6-41A9-A9B5-06E1ACC4DB87}">
      <formula1>"Reading, Finished, Want to Read, Abandoned"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4147-C05B-4328-BEE1-DE50D0D64766}">
  <dimension ref="A1:J14"/>
  <sheetViews>
    <sheetView workbookViewId="0">
      <selection activeCell="B7" sqref="B7"/>
    </sheetView>
  </sheetViews>
  <sheetFormatPr defaultRowHeight="15"/>
  <cols>
    <col min="1" max="1" width="29.140625" customWidth="1"/>
    <col min="2" max="2" width="24.7109375" customWidth="1"/>
    <col min="3" max="3" width="14.7109375" customWidth="1"/>
    <col min="4" max="4" width="15.42578125" customWidth="1"/>
    <col min="5" max="5" width="16.140625" customWidth="1"/>
    <col min="6" max="6" width="19.42578125" customWidth="1"/>
    <col min="7" max="7" width="14.42578125" customWidth="1"/>
    <col min="8" max="8" width="19.42578125" customWidth="1"/>
    <col min="9" max="9" width="20.42578125" customWidth="1"/>
    <col min="10" max="10" width="19.5703125" customWidth="1"/>
  </cols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10</v>
      </c>
      <c r="B3" s="2"/>
      <c r="C3" s="2"/>
      <c r="D3" s="2">
        <f>COUNTIF(D5:D200, "Finished")</f>
        <v>10</v>
      </c>
      <c r="E3" s="2"/>
      <c r="F3" s="2">
        <f>AVERAGE(F5:F200)</f>
        <v>3.9</v>
      </c>
      <c r="G3" s="2">
        <f>SUM(G5:G100)</f>
        <v>96</v>
      </c>
      <c r="H3" s="2">
        <f>COUNTIF(F5:H200, 5)</f>
        <v>1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 ht="30.75">
      <c r="A5" s="6" t="s">
        <v>130</v>
      </c>
      <c r="B5" s="6"/>
      <c r="C5" s="2"/>
      <c r="D5" s="2" t="s">
        <v>14</v>
      </c>
      <c r="E5" s="2" t="s">
        <v>15</v>
      </c>
      <c r="F5" s="2">
        <v>4</v>
      </c>
      <c r="G5" s="2"/>
      <c r="H5" s="2" t="str">
        <f>REPT("★", F5) &amp; REPT("☆", 5 - F5)</f>
        <v>★★★★☆</v>
      </c>
      <c r="I5" s="7">
        <v>45683</v>
      </c>
      <c r="J5" s="2"/>
    </row>
    <row r="6" spans="1:10" ht="30.75">
      <c r="A6" s="6" t="s">
        <v>216</v>
      </c>
      <c r="B6" s="6" t="s">
        <v>217</v>
      </c>
      <c r="C6" s="2" t="s">
        <v>29</v>
      </c>
      <c r="D6" s="2" t="s">
        <v>14</v>
      </c>
      <c r="E6" s="2" t="s">
        <v>19</v>
      </c>
      <c r="F6" s="2">
        <v>3.5</v>
      </c>
      <c r="G6" s="2">
        <v>96</v>
      </c>
      <c r="H6" s="2" t="str">
        <f>REPT("★", F6) &amp; REPT("☆", 5 - F6)</f>
        <v>★★★☆</v>
      </c>
      <c r="I6" s="7">
        <v>45688</v>
      </c>
      <c r="J6" s="2"/>
    </row>
    <row r="7" spans="1:10" ht="45.75">
      <c r="A7" s="6" t="s">
        <v>218</v>
      </c>
      <c r="B7" s="6"/>
      <c r="C7" s="2"/>
      <c r="D7" s="2" t="s">
        <v>14</v>
      </c>
      <c r="E7" s="2" t="s">
        <v>15</v>
      </c>
      <c r="F7" s="2">
        <v>4</v>
      </c>
      <c r="G7" s="2"/>
      <c r="H7" s="2" t="str">
        <f>REPT("★", F7) &amp; REPT("☆", 5 - F7)</f>
        <v>★★★★☆</v>
      </c>
      <c r="I7" s="7">
        <v>45727</v>
      </c>
      <c r="J7" s="2"/>
    </row>
    <row r="8" spans="1:10" ht="30.75">
      <c r="A8" s="6" t="s">
        <v>210</v>
      </c>
      <c r="B8" s="6"/>
      <c r="C8" s="2"/>
      <c r="D8" s="2" t="s">
        <v>14</v>
      </c>
      <c r="E8" s="2" t="s">
        <v>15</v>
      </c>
      <c r="F8" s="2">
        <v>5</v>
      </c>
      <c r="G8" s="2"/>
      <c r="H8" s="2" t="str">
        <f>REPT("★", F8) &amp; REPT("☆", 5 - F8)</f>
        <v>★★★★★</v>
      </c>
      <c r="I8" s="7">
        <v>45738</v>
      </c>
      <c r="J8" s="2"/>
    </row>
    <row r="9" spans="1:10" ht="69.75" customHeight="1">
      <c r="A9" s="6" t="s">
        <v>219</v>
      </c>
      <c r="B9" s="6"/>
      <c r="C9" s="2"/>
      <c r="D9" s="2" t="s">
        <v>14</v>
      </c>
      <c r="E9" s="2" t="s">
        <v>15</v>
      </c>
      <c r="F9" s="2">
        <v>4</v>
      </c>
      <c r="G9" s="2"/>
      <c r="H9" s="2" t="str">
        <f>REPT("★", F9) &amp; REPT("☆", 5 - F9)</f>
        <v>★★★★☆</v>
      </c>
      <c r="I9" s="7">
        <v>45739</v>
      </c>
      <c r="J9" s="2"/>
    </row>
    <row r="10" spans="1:10" ht="49.5" customHeight="1">
      <c r="A10" s="6" t="s">
        <v>220</v>
      </c>
      <c r="B10" s="6"/>
      <c r="C10" s="2"/>
      <c r="D10" s="2" t="s">
        <v>14</v>
      </c>
      <c r="E10" s="2" t="s">
        <v>15</v>
      </c>
      <c r="F10" s="2">
        <v>3.5</v>
      </c>
      <c r="G10" s="2"/>
      <c r="H10" s="2" t="str">
        <f>REPT("★", F10) &amp; REPT("☆", 5 - F10)</f>
        <v>★★★☆</v>
      </c>
      <c r="I10" s="7">
        <v>45739</v>
      </c>
      <c r="J10" s="2"/>
    </row>
    <row r="11" spans="1:10" ht="76.5">
      <c r="A11" s="6" t="s">
        <v>221</v>
      </c>
      <c r="B11" s="6"/>
      <c r="C11" s="2"/>
      <c r="D11" s="2" t="s">
        <v>14</v>
      </c>
      <c r="E11" s="2" t="s">
        <v>15</v>
      </c>
      <c r="F11" s="2">
        <v>3.5</v>
      </c>
      <c r="G11" s="2"/>
      <c r="H11" s="2" t="str">
        <f>REPT("★", F11) &amp; REPT("☆", 5 - F11)</f>
        <v>★★★☆</v>
      </c>
      <c r="I11" s="7">
        <v>45739</v>
      </c>
      <c r="J11" s="2"/>
    </row>
    <row r="12" spans="1:10" ht="76.5">
      <c r="A12" s="6" t="s">
        <v>168</v>
      </c>
      <c r="B12" s="6"/>
      <c r="C12" s="2"/>
      <c r="D12" s="2" t="s">
        <v>14</v>
      </c>
      <c r="E12" s="2" t="s">
        <v>15</v>
      </c>
      <c r="F12" s="2">
        <v>4</v>
      </c>
      <c r="G12" s="2"/>
      <c r="H12" s="2" t="str">
        <f>REPT("★", F12) &amp; REPT("☆", 5 - F12)</f>
        <v>★★★★☆</v>
      </c>
      <c r="I12" s="7">
        <v>45814</v>
      </c>
      <c r="J12" s="2"/>
    </row>
    <row r="13" spans="1:10" ht="60.75">
      <c r="A13" s="6" t="s">
        <v>222</v>
      </c>
      <c r="B13" s="6"/>
      <c r="C13" s="2"/>
      <c r="D13" s="2" t="s">
        <v>14</v>
      </c>
      <c r="E13" s="2" t="s">
        <v>15</v>
      </c>
      <c r="F13" s="2">
        <v>4.5</v>
      </c>
      <c r="G13" s="2"/>
      <c r="H13" s="2" t="str">
        <f>REPT("★", F13) &amp; REPT("☆", 5 - F13)</f>
        <v>★★★★</v>
      </c>
      <c r="I13" s="7">
        <v>45833</v>
      </c>
      <c r="J13" s="2"/>
    </row>
    <row r="14" spans="1:10" ht="45.75">
      <c r="A14" s="6" t="s">
        <v>182</v>
      </c>
      <c r="B14" s="6"/>
      <c r="C14" s="2"/>
      <c r="D14" s="2" t="s">
        <v>14</v>
      </c>
      <c r="E14" s="2" t="s">
        <v>15</v>
      </c>
      <c r="F14" s="2">
        <v>3</v>
      </c>
      <c r="G14" s="2"/>
      <c r="H14" s="2" t="str">
        <f>REPT("★", F14) &amp; REPT("☆", 5 - F14)</f>
        <v>★★★☆☆</v>
      </c>
      <c r="I14" s="7">
        <v>45987</v>
      </c>
      <c r="J14" s="2"/>
    </row>
  </sheetData>
  <mergeCells count="1">
    <mergeCell ref="A1:J1"/>
  </mergeCells>
  <conditionalFormatting sqref="D1:D4">
    <cfRule type="containsText" dxfId="23" priority="5" operator="containsText" text="WANT TO READ">
      <formula>NOT(ISERROR(SEARCH("WANT TO READ",D1)))</formula>
    </cfRule>
    <cfRule type="containsText" dxfId="22" priority="6" operator="containsText" text="ABANDONED">
      <formula>NOT(ISERROR(SEARCH("ABANDONED",D1)))</formula>
    </cfRule>
    <cfRule type="containsText" dxfId="21" priority="7" operator="containsText" text="READING">
      <formula>NOT(ISERROR(SEARCH("READING",D1)))</formula>
    </cfRule>
    <cfRule type="containsText" dxfId="20" priority="8" operator="containsText" text="FINISHED">
      <formula>NOT(ISERROR(SEARCH("FINISHED",D1)))</formula>
    </cfRule>
  </conditionalFormatting>
  <conditionalFormatting sqref="D5:D14">
    <cfRule type="containsText" dxfId="19" priority="1" operator="containsText" text="WANT TO READ">
      <formula>NOT(ISERROR(SEARCH("WANT TO READ",D5)))</formula>
    </cfRule>
    <cfRule type="containsText" dxfId="18" priority="2" operator="containsText" text="ABANDONED">
      <formula>NOT(ISERROR(SEARCH("ABANDONED",D5)))</formula>
    </cfRule>
    <cfRule type="containsText" dxfId="17" priority="3" operator="containsText" text="READING">
      <formula>NOT(ISERROR(SEARCH("READING",D5)))</formula>
    </cfRule>
    <cfRule type="containsText" dxfId="16" priority="4" operator="containsText" text="FINISHED">
      <formula>NOT(ISERROR(SEARCH("FINISHED",D5)))</formula>
    </cfRule>
  </conditionalFormatting>
  <dataValidations count="2">
    <dataValidation type="list" allowBlank="1" showInputMessage="1" showErrorMessage="1" sqref="E5:E14" xr:uid="{6CB32BD5-E6D6-4590-936F-D8DF8FF3A25F}">
      <formula1>"Physical, Ebook, Audiobook"</formula1>
    </dataValidation>
    <dataValidation type="list" allowBlank="1" showInputMessage="1" showErrorMessage="1" sqref="D5:D14" xr:uid="{2D66BA10-DACC-49FC-AC3F-BEA0D53E5535}">
      <formula1>"Reading, Finished, Want to Read, Abandoned"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DE4F-5C28-4A46-9E39-1D2B32AF9275}">
  <dimension ref="A1:J10"/>
  <sheetViews>
    <sheetView workbookViewId="0">
      <selection sqref="A1:J10"/>
    </sheetView>
  </sheetViews>
  <sheetFormatPr defaultRowHeight="15"/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0</v>
      </c>
      <c r="B3" s="2"/>
      <c r="C3" s="2"/>
      <c r="D3" s="2">
        <f>COUNTIF(D5:D200, "Finished")</f>
        <v>0</v>
      </c>
      <c r="E3" s="2"/>
      <c r="F3" s="2" t="e">
        <f>AVERAGE(F5:F200)</f>
        <v>#DIV/0!</v>
      </c>
      <c r="G3" s="2">
        <f>SUM(G5:G100)</f>
        <v>0</v>
      </c>
      <c r="H3" s="2">
        <f>COUNTIF(F5:H200, 5)</f>
        <v>0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>
      <c r="A5" s="6"/>
      <c r="B5" s="6"/>
      <c r="C5" s="2"/>
      <c r="D5" s="2"/>
      <c r="E5" s="2"/>
      <c r="F5" s="2"/>
      <c r="G5" s="2"/>
      <c r="H5" s="2"/>
      <c r="I5" s="7"/>
      <c r="J5" s="2"/>
    </row>
    <row r="6" spans="1:10">
      <c r="A6" s="6"/>
      <c r="B6" s="6"/>
      <c r="C6" s="2"/>
      <c r="D6" s="2"/>
      <c r="E6" s="2"/>
      <c r="F6" s="2"/>
      <c r="G6" s="2"/>
      <c r="H6" s="2"/>
      <c r="I6" s="7"/>
      <c r="J6" s="2"/>
    </row>
    <row r="7" spans="1:10">
      <c r="A7" s="6"/>
      <c r="B7" s="6"/>
      <c r="C7" s="2"/>
      <c r="D7" s="2"/>
      <c r="E7" s="2"/>
      <c r="F7" s="2"/>
      <c r="G7" s="2"/>
      <c r="H7" s="2"/>
      <c r="I7" s="7"/>
      <c r="J7" s="2"/>
    </row>
    <row r="8" spans="1:10">
      <c r="A8" s="6"/>
      <c r="B8" s="6"/>
      <c r="C8" s="2"/>
      <c r="D8" s="2"/>
      <c r="E8" s="2"/>
      <c r="F8" s="2"/>
      <c r="G8" s="2"/>
      <c r="H8" s="2"/>
      <c r="I8" s="7"/>
      <c r="J8" s="2"/>
    </row>
    <row r="9" spans="1:10">
      <c r="A9" s="6"/>
      <c r="B9" s="6"/>
      <c r="C9" s="2"/>
      <c r="D9" s="2"/>
      <c r="E9" s="2"/>
      <c r="F9" s="2"/>
      <c r="G9" s="2"/>
      <c r="H9" s="2"/>
      <c r="I9" s="7"/>
      <c r="J9" s="2"/>
    </row>
    <row r="10" spans="1:10">
      <c r="A10" s="6"/>
      <c r="B10" s="6"/>
      <c r="C10" s="2"/>
      <c r="D10" s="2"/>
      <c r="E10" s="2"/>
      <c r="F10" s="2"/>
      <c r="G10" s="2"/>
      <c r="H10" s="2"/>
      <c r="I10" s="7"/>
      <c r="J10" s="2"/>
    </row>
  </sheetData>
  <mergeCells count="1">
    <mergeCell ref="A1:J1"/>
  </mergeCells>
  <conditionalFormatting sqref="D1:D10">
    <cfRule type="containsText" dxfId="15" priority="1" operator="containsText" text="WANT TO READ">
      <formula>NOT(ISERROR(SEARCH("WANT TO READ",D1)))</formula>
    </cfRule>
    <cfRule type="containsText" dxfId="14" priority="2" operator="containsText" text="ABANDONED">
      <formula>NOT(ISERROR(SEARCH("ABANDONED",D1)))</formula>
    </cfRule>
    <cfRule type="containsText" dxfId="13" priority="3" operator="containsText" text="READING">
      <formula>NOT(ISERROR(SEARCH("READING",D1)))</formula>
    </cfRule>
    <cfRule type="containsText" dxfId="12" priority="4" operator="containsText" text="FINISHED">
      <formula>NOT(ISERROR(SEARCH("FINISHED",D1)))</formula>
    </cfRule>
  </conditionalFormatting>
  <dataValidations count="2">
    <dataValidation type="list" allowBlank="1" showInputMessage="1" showErrorMessage="1" sqref="D5:D10" xr:uid="{7739A5F8-25A1-42F0-B77B-E199A8800022}">
      <formula1>"Reading, Finished, Want to Read, Abandoned"</formula1>
    </dataValidation>
    <dataValidation type="list" allowBlank="1" showInputMessage="1" showErrorMessage="1" sqref="E5:E10" xr:uid="{8BBC4611-DFCD-4151-9C31-802BD4FB1F13}">
      <formula1>"Physical, Ebook, Audiobook"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F7FF-EFE6-4FDA-ACAF-A493FD303DF5}">
  <dimension ref="A1:J10"/>
  <sheetViews>
    <sheetView workbookViewId="0">
      <selection sqref="A1:J10"/>
    </sheetView>
  </sheetViews>
  <sheetFormatPr defaultRowHeight="15"/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0</v>
      </c>
      <c r="B3" s="2"/>
      <c r="C3" s="2"/>
      <c r="D3" s="2">
        <f>COUNTIF(D5:D200, "Finished")</f>
        <v>0</v>
      </c>
      <c r="E3" s="2"/>
      <c r="F3" s="2" t="e">
        <f>AVERAGE(F5:F200)</f>
        <v>#DIV/0!</v>
      </c>
      <c r="G3" s="2">
        <f>SUM(G5:G100)</f>
        <v>0</v>
      </c>
      <c r="H3" s="2">
        <f>COUNTIF(F5:H200, 5)</f>
        <v>0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>
      <c r="A5" s="6"/>
      <c r="B5" s="6"/>
      <c r="C5" s="2"/>
      <c r="D5" s="2"/>
      <c r="E5" s="2"/>
      <c r="F5" s="2"/>
      <c r="G5" s="2"/>
      <c r="H5" s="2"/>
      <c r="I5" s="7"/>
      <c r="J5" s="2"/>
    </row>
    <row r="6" spans="1:10">
      <c r="A6" s="6"/>
      <c r="B6" s="6"/>
      <c r="C6" s="2"/>
      <c r="D6" s="2"/>
      <c r="E6" s="2"/>
      <c r="F6" s="2"/>
      <c r="G6" s="2"/>
      <c r="H6" s="2"/>
      <c r="I6" s="7"/>
      <c r="J6" s="2"/>
    </row>
    <row r="7" spans="1:10">
      <c r="A7" s="6"/>
      <c r="B7" s="6"/>
      <c r="C7" s="2"/>
      <c r="D7" s="2"/>
      <c r="E7" s="2"/>
      <c r="F7" s="2"/>
      <c r="G7" s="2"/>
      <c r="H7" s="2"/>
      <c r="I7" s="7"/>
      <c r="J7" s="2"/>
    </row>
    <row r="8" spans="1:10">
      <c r="A8" s="6"/>
      <c r="B8" s="6"/>
      <c r="C8" s="2"/>
      <c r="D8" s="2"/>
      <c r="E8" s="2"/>
      <c r="F8" s="2"/>
      <c r="G8" s="2"/>
      <c r="H8" s="2"/>
      <c r="I8" s="7"/>
      <c r="J8" s="2"/>
    </row>
    <row r="9" spans="1:10">
      <c r="A9" s="6"/>
      <c r="B9" s="6"/>
      <c r="C9" s="2"/>
      <c r="D9" s="2"/>
      <c r="E9" s="2"/>
      <c r="F9" s="2"/>
      <c r="G9" s="2"/>
      <c r="H9" s="2"/>
      <c r="I9" s="7"/>
      <c r="J9" s="2"/>
    </row>
    <row r="10" spans="1:10">
      <c r="A10" s="6"/>
      <c r="B10" s="6"/>
      <c r="C10" s="2"/>
      <c r="D10" s="2"/>
      <c r="E10" s="2"/>
      <c r="F10" s="2"/>
      <c r="G10" s="2"/>
      <c r="H10" s="2"/>
      <c r="I10" s="7"/>
      <c r="J10" s="2"/>
    </row>
  </sheetData>
  <mergeCells count="1">
    <mergeCell ref="A1:J1"/>
  </mergeCells>
  <conditionalFormatting sqref="D1:D10">
    <cfRule type="containsText" dxfId="11" priority="1" operator="containsText" text="WANT TO READ">
      <formula>NOT(ISERROR(SEARCH("WANT TO READ",D1)))</formula>
    </cfRule>
    <cfRule type="containsText" dxfId="10" priority="2" operator="containsText" text="ABANDONED">
      <formula>NOT(ISERROR(SEARCH("ABANDONED",D1)))</formula>
    </cfRule>
    <cfRule type="containsText" dxfId="9" priority="3" operator="containsText" text="READING">
      <formula>NOT(ISERROR(SEARCH("READING",D1)))</formula>
    </cfRule>
    <cfRule type="containsText" dxfId="8" priority="4" operator="containsText" text="FINISHED">
      <formula>NOT(ISERROR(SEARCH("FINISHED",D1)))</formula>
    </cfRule>
  </conditionalFormatting>
  <dataValidations count="2">
    <dataValidation type="list" allowBlank="1" showInputMessage="1" showErrorMessage="1" sqref="E5:E10" xr:uid="{F2A27BBC-842C-4D5B-8325-B9AA2FF5C135}">
      <formula1>"Physical, Ebook, Audiobook"</formula1>
    </dataValidation>
    <dataValidation type="list" allowBlank="1" showInputMessage="1" showErrorMessage="1" sqref="D5:D10" xr:uid="{7BBA6C16-B0EA-4B2F-BA96-815BD3EB9A62}">
      <formula1>"Reading, Finished, Want to Read, Abandoned"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61E2-19E6-4981-9BAD-FA4D5ECBC398}">
  <dimension ref="A1:J10"/>
  <sheetViews>
    <sheetView workbookViewId="0">
      <selection sqref="A1:J10"/>
    </sheetView>
  </sheetViews>
  <sheetFormatPr defaultRowHeight="15"/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0</v>
      </c>
      <c r="B3" s="2"/>
      <c r="C3" s="2"/>
      <c r="D3" s="2">
        <f>COUNTIF(D5:D200, "Finished")</f>
        <v>0</v>
      </c>
      <c r="E3" s="2"/>
      <c r="F3" s="2" t="e">
        <f>AVERAGE(F5:F200)</f>
        <v>#DIV/0!</v>
      </c>
      <c r="G3" s="2">
        <f>SUM(G5:G100)</f>
        <v>0</v>
      </c>
      <c r="H3" s="2">
        <f>COUNTIF(F5:H200, 5)</f>
        <v>0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>
      <c r="A5" s="6"/>
      <c r="B5" s="6"/>
      <c r="C5" s="2"/>
      <c r="D5" s="2"/>
      <c r="E5" s="2"/>
      <c r="F5" s="2"/>
      <c r="G5" s="2"/>
      <c r="H5" s="2"/>
      <c r="I5" s="7"/>
      <c r="J5" s="2"/>
    </row>
    <row r="6" spans="1:10">
      <c r="A6" s="6"/>
      <c r="B6" s="6"/>
      <c r="C6" s="2"/>
      <c r="D6" s="2"/>
      <c r="E6" s="2"/>
      <c r="F6" s="2"/>
      <c r="G6" s="2"/>
      <c r="H6" s="2"/>
      <c r="I6" s="7"/>
      <c r="J6" s="2"/>
    </row>
    <row r="7" spans="1:10">
      <c r="A7" s="6"/>
      <c r="B7" s="6"/>
      <c r="C7" s="2"/>
      <c r="D7" s="2"/>
      <c r="E7" s="2"/>
      <c r="F7" s="2"/>
      <c r="G7" s="2"/>
      <c r="H7" s="2"/>
      <c r="I7" s="7"/>
      <c r="J7" s="2"/>
    </row>
    <row r="8" spans="1:10">
      <c r="A8" s="6"/>
      <c r="B8" s="6"/>
      <c r="C8" s="2"/>
      <c r="D8" s="2"/>
      <c r="E8" s="2"/>
      <c r="F8" s="2"/>
      <c r="G8" s="2"/>
      <c r="H8" s="2"/>
      <c r="I8" s="7"/>
      <c r="J8" s="2"/>
    </row>
    <row r="9" spans="1:10">
      <c r="A9" s="6"/>
      <c r="B9" s="6"/>
      <c r="C9" s="2"/>
      <c r="D9" s="2"/>
      <c r="E9" s="2"/>
      <c r="F9" s="2"/>
      <c r="G9" s="2"/>
      <c r="H9" s="2"/>
      <c r="I9" s="7"/>
      <c r="J9" s="2"/>
    </row>
    <row r="10" spans="1:10">
      <c r="A10" s="6"/>
      <c r="B10" s="6"/>
      <c r="C10" s="2"/>
      <c r="D10" s="2"/>
      <c r="E10" s="2"/>
      <c r="F10" s="2"/>
      <c r="G10" s="2"/>
      <c r="H10" s="2"/>
      <c r="I10" s="7"/>
      <c r="J10" s="2"/>
    </row>
  </sheetData>
  <mergeCells count="1">
    <mergeCell ref="A1:J1"/>
  </mergeCells>
  <conditionalFormatting sqref="D1:D10">
    <cfRule type="containsText" dxfId="7" priority="1" operator="containsText" text="WANT TO READ">
      <formula>NOT(ISERROR(SEARCH("WANT TO READ",D1)))</formula>
    </cfRule>
    <cfRule type="containsText" dxfId="6" priority="2" operator="containsText" text="ABANDONED">
      <formula>NOT(ISERROR(SEARCH("ABANDONED",D1)))</formula>
    </cfRule>
    <cfRule type="containsText" dxfId="5" priority="3" operator="containsText" text="READING">
      <formula>NOT(ISERROR(SEARCH("READING",D1)))</formula>
    </cfRule>
    <cfRule type="containsText" dxfId="4" priority="4" operator="containsText" text="FINISHED">
      <formula>NOT(ISERROR(SEARCH("FINISHED",D1)))</formula>
    </cfRule>
  </conditionalFormatting>
  <dataValidations count="2">
    <dataValidation type="list" allowBlank="1" showInputMessage="1" showErrorMessage="1" sqref="D5:D10" xr:uid="{6DA08BE2-A1EE-4B92-BA9C-B3EB06FEAACE}">
      <formula1>"Reading, Finished, Want to Read, Abandoned"</formula1>
    </dataValidation>
    <dataValidation type="list" allowBlank="1" showInputMessage="1" showErrorMessage="1" sqref="E5:E10" xr:uid="{5EA7B7D7-A023-4C6E-B52A-7C6FBA0B778C}">
      <formula1>"Physical, Ebook, Audiobook"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E7E5-5C1A-4477-BDE2-8FF8586C7CBA}">
  <dimension ref="A1:J10"/>
  <sheetViews>
    <sheetView workbookViewId="0">
      <selection activeCell="N11" sqref="N11"/>
    </sheetView>
  </sheetViews>
  <sheetFormatPr defaultRowHeight="15"/>
  <sheetData>
    <row r="1" spans="1:10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2">
        <f>COUNTA(A5:A200)</f>
        <v>0</v>
      </c>
      <c r="B3" s="2"/>
      <c r="C3" s="2"/>
      <c r="D3" s="2">
        <f>COUNTIF(D5:D200, "Finished")</f>
        <v>0</v>
      </c>
      <c r="E3" s="2"/>
      <c r="F3" s="2" t="e">
        <f>AVERAGE(F5:F200)</f>
        <v>#DIV/0!</v>
      </c>
      <c r="G3" s="2">
        <f>SUM(G5:G100)</f>
        <v>0</v>
      </c>
      <c r="H3" s="2">
        <f>COUNTIF(F5:H200, 5)</f>
        <v>0</v>
      </c>
      <c r="I3" s="2"/>
      <c r="J3" s="2"/>
    </row>
    <row r="4" spans="1:10" ht="18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>
      <c r="A5" s="6"/>
      <c r="B5" s="6"/>
      <c r="C5" s="2"/>
      <c r="D5" s="2"/>
      <c r="E5" s="2"/>
      <c r="F5" s="2"/>
      <c r="G5" s="2"/>
      <c r="H5" s="2"/>
      <c r="I5" s="7"/>
      <c r="J5" s="2"/>
    </row>
    <row r="6" spans="1:10">
      <c r="A6" s="6"/>
      <c r="B6" s="6"/>
      <c r="C6" s="2"/>
      <c r="D6" s="2"/>
      <c r="E6" s="2"/>
      <c r="F6" s="2"/>
      <c r="G6" s="2"/>
      <c r="H6" s="2"/>
      <c r="I6" s="7"/>
      <c r="J6" s="2"/>
    </row>
    <row r="7" spans="1:10">
      <c r="A7" s="6"/>
      <c r="B7" s="6"/>
      <c r="C7" s="2"/>
      <c r="D7" s="2"/>
      <c r="E7" s="2"/>
      <c r="F7" s="2"/>
      <c r="G7" s="2"/>
      <c r="H7" s="2"/>
      <c r="I7" s="7"/>
      <c r="J7" s="2"/>
    </row>
    <row r="8" spans="1:10">
      <c r="A8" s="6"/>
      <c r="B8" s="6"/>
      <c r="C8" s="2"/>
      <c r="D8" s="2"/>
      <c r="E8" s="2"/>
      <c r="F8" s="2"/>
      <c r="G8" s="2"/>
      <c r="H8" s="2"/>
      <c r="I8" s="7"/>
      <c r="J8" s="2"/>
    </row>
    <row r="9" spans="1:10">
      <c r="A9" s="6"/>
      <c r="B9" s="6"/>
      <c r="C9" s="2"/>
      <c r="D9" s="2"/>
      <c r="E9" s="2"/>
      <c r="F9" s="2"/>
      <c r="G9" s="2"/>
      <c r="H9" s="2"/>
      <c r="I9" s="7"/>
      <c r="J9" s="2"/>
    </row>
    <row r="10" spans="1:10">
      <c r="A10" s="6"/>
      <c r="B10" s="6"/>
      <c r="C10" s="2"/>
      <c r="D10" s="2"/>
      <c r="E10" s="2"/>
      <c r="F10" s="2"/>
      <c r="G10" s="2"/>
      <c r="H10" s="2"/>
      <c r="I10" s="7"/>
      <c r="J10" s="2"/>
    </row>
  </sheetData>
  <mergeCells count="1">
    <mergeCell ref="A1:J1"/>
  </mergeCells>
  <conditionalFormatting sqref="D1:D10">
    <cfRule type="containsText" dxfId="3" priority="1" operator="containsText" text="WANT TO READ">
      <formula>NOT(ISERROR(SEARCH("WANT TO READ",D1)))</formula>
    </cfRule>
    <cfRule type="containsText" dxfId="2" priority="2" operator="containsText" text="ABANDONED">
      <formula>NOT(ISERROR(SEARCH("ABANDONED",D1)))</formula>
    </cfRule>
    <cfRule type="containsText" dxfId="1" priority="3" operator="containsText" text="READING">
      <formula>NOT(ISERROR(SEARCH("READING",D1)))</formula>
    </cfRule>
    <cfRule type="containsText" dxfId="0" priority="4" operator="containsText" text="FINISHED">
      <formula>NOT(ISERROR(SEARCH("FINISHED",D1)))</formula>
    </cfRule>
  </conditionalFormatting>
  <dataValidations count="2">
    <dataValidation type="list" allowBlank="1" showInputMessage="1" showErrorMessage="1" sqref="D5:D10" xr:uid="{9C439395-1C57-4BFD-8301-5AEBC1E43313}">
      <formula1>"Reading, Finished, Want to Read, Abandoned"</formula1>
    </dataValidation>
    <dataValidation type="list" allowBlank="1" showInputMessage="1" showErrorMessage="1" sqref="E5:E10" xr:uid="{A8E0963A-8B1E-462B-91B5-A00D9895AD9A}">
      <formula1>"Physical, Ebook, Audiobook"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2026-08-15T14:51:11Z</dcterms:created>
  <dcterms:modified xsi:type="dcterms:W3CDTF">2026-09-19T12:37:21Z</dcterms:modified>
  <cp:category/>
  <cp:contentStatus/>
</cp:coreProperties>
</file>